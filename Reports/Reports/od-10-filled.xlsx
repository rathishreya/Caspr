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A · EZ holdings" sheetId="2" r:id="rId6"/>
    <sheet state="visible" name="B · Public comparison" sheetId="3" r:id="rId7"/>
    <sheet state="visible" name="C · Publisher enquiries" sheetId="4" r:id="rId8"/>
    <sheet state="visible" name="Reference" sheetId="5" r:id="rId9"/>
  </sheets>
  <definedNames/>
  <calcPr/>
</workbook>
</file>

<file path=xl/sharedStrings.xml><?xml version="1.0" encoding="utf-8"?>
<sst xmlns="http://schemas.openxmlformats.org/spreadsheetml/2006/main" count="501" uniqueCount="288">
  <si>
    <t>Caspr — market research capture</t>
  </si>
  <si>
    <t>For the operations team  ·  25 August 2026  ·  Budget: zero. Nothing here requires a purchase.</t>
  </si>
  <si>
    <t>HOW TO USE THIS</t>
  </si>
  <si>
    <t>Fill the cream cells. Grey cells are already filled in for you — leave them.</t>
  </si>
  <si>
    <t>Do the tabs in order. Tab A may remove most of Tab C, so it is worth twenty minutes first.</t>
  </si>
  <si>
    <t>A · EZ holdings</t>
  </si>
  <si>
    <t>C · The publishers who name no price publicly</t>
  </si>
  <si>
    <t>What research EZ already subscribes to or has bought, and what it cost. EZ is a buyer, so the figure may already exist in your own procurement records.</t>
  </si>
  <si>
    <t>A · What EZ already holds</t>
  </si>
  <si>
    <t>B · Public comparison</t>
  </si>
  <si>
    <t>B · Compare the report to the question a buyer actually asks</t>
  </si>
  <si>
    <t>Compare reports to the questions buyers actually ask — using only the seller's free product page. No purchase, no login.</t>
  </si>
  <si>
    <t>C · Publisher enquiries</t>
  </si>
  <si>
    <t>Do Tab A first and cross off anything EZ already holds. Priority 1–4 are worth more than 5–9 combined. Fill columns F to L even when no price is given — a refusal is a complete result.</t>
  </si>
  <si>
    <t>The nine publishers who name no price publicly. Only for ones Tab A shows EZ does not hold.</t>
  </si>
  <si>
    <t>Start here. If EZ subscribes to any of these, the price already exists in your own records — no enquiry needed. Flag anything the contract says is confidential; we'll treat it as internal-only.</t>
  </si>
  <si>
    <t>Reference</t>
  </si>
  <si>
    <t>Use the seller's free product page only — no purchase, no login. The page always states what the report covers, because that's how it's sold. Columns I to L are the point of this tab.</t>
  </si>
  <si>
    <t>Seven prices already sourced. Do not redo these.</t>
  </si>
  <si>
    <t>THE THREE RULES — please read before contacting any publisher</t>
  </si>
  <si>
    <t>Priority</t>
  </si>
  <si>
    <t>1.  Ask as who you are. Real name, real company, real email. No pseudonymous enquiries, no personal address to look like an individual buyer, and never another company's identity. If they ask why we're asking, the true answer — "we're evaluating what the market costs, and we may buy" — is a good answer.</t>
  </si>
  <si>
    <t>2.  Don't manufacture purchase intent you don't have. Asking a price is normal. Running a full sales cycle and requesting a formal proposal with no intention of buying is not. Stop at the number and the terms.</t>
  </si>
  <si>
    <t>Publisher</t>
  </si>
  <si>
    <t>Publisher / product</t>
  </si>
  <si>
    <t>What to ask them</t>
  </si>
  <si>
    <t>3.  A number from a sales conversation isn't automatically publishable. Quotes often arrive marked confidential. Record it either way, flag which it is, and Joy decides.</t>
  </si>
  <si>
    <t>Contacted by</t>
  </si>
  <si>
    <t>Do we hold it?</t>
  </si>
  <si>
    <t>Email used</t>
  </si>
  <si>
    <t>Date of first contact</t>
  </si>
  <si>
    <t>Licence type</t>
  </si>
  <si>
    <t>Channel</t>
  </si>
  <si>
    <t>If a conversation starts to feel like it needs a small untruth to continue — stop, and record what happened. "They wouldn't give a figure without a procurement call" is a complete result, not a failed one. Those process columns matter more than the price.</t>
  </si>
  <si>
    <t>Seats</t>
  </si>
  <si>
    <t>Did they give a number?</t>
  </si>
  <si>
    <t>Report title</t>
  </si>
  <si>
    <t>Date number received</t>
  </si>
  <si>
    <t>Contract term</t>
  </si>
  <si>
    <t>Days to a number</t>
  </si>
  <si>
    <t>Product page URL</t>
  </si>
  <si>
    <t>Annual cost</t>
  </si>
  <si>
    <t>Touches before a number</t>
  </si>
  <si>
    <t>Date observed</t>
  </si>
  <si>
    <t>Was a call required first?</t>
  </si>
  <si>
    <t>Currency</t>
  </si>
  <si>
    <t>Published</t>
  </si>
  <si>
    <t>Price quoted</t>
  </si>
  <si>
    <t>Is pricing confidential
under the contract?</t>
  </si>
  <si>
    <t>Pages</t>
  </si>
  <si>
    <t>A REFUSAL IS DATA. Fill the process columns even when you get no number.</t>
  </si>
  <si>
    <t>Reports already on file
(titles)</t>
  </si>
  <si>
    <t>Term</t>
  </si>
  <si>
    <t>Price (single user)</t>
  </si>
  <si>
    <t>Scope</t>
  </si>
  <si>
    <t>Who to ask internally</t>
  </si>
  <si>
    <t>Minimum term</t>
  </si>
  <si>
    <t>Minimum seats</t>
  </si>
  <si>
    <t>Notes</t>
  </si>
  <si>
    <t>Single report purchasable?</t>
  </si>
  <si>
    <t>Discount or expiry attached</t>
  </si>
  <si>
    <t xml:space="preserve">Price Link </t>
  </si>
  <si>
    <t>Confidential?</t>
  </si>
  <si>
    <t>Exact confidentiality wording</t>
  </si>
  <si>
    <t>Anything volunteered in writing</t>
  </si>
  <si>
    <t>Gartner</t>
  </si>
  <si>
    <t>Attachments saved?</t>
  </si>
  <si>
    <t>What it covers — segmentation, copied from the page</t>
  </si>
  <si>
    <t>The buyer question we are testing</t>
  </si>
  <si>
    <t>Does it answer that question?</t>
  </si>
  <si>
    <t>What it does NOT answer</t>
  </si>
  <si>
    <t>Free source that covers the same ground</t>
  </si>
  <si>
    <t>Free source URL</t>
  </si>
  <si>
    <t>Single-seat cost, minimum term, what one seat includes, and whether any per-report purchase exists at all</t>
  </si>
  <si>
    <t>Forrester</t>
  </si>
  <si>
    <t>Gaurav</t>
  </si>
  <si>
    <t>Euromonitor (Passport)</t>
  </si>
  <si>
    <t>Market Guide for AI Evaluation and Observability Platforms</t>
  </si>
  <si>
    <t>reserach@ez.works</t>
  </si>
  <si>
    <t>26-08-2026</t>
  </si>
  <si>
    <t>https://www.gartner.com/en/documents/7387730</t>
  </si>
  <si>
    <t>Mintel</t>
  </si>
  <si>
    <t>PitchBook</t>
  </si>
  <si>
    <t>Email</t>
  </si>
  <si>
    <t>CB Insights</t>
  </si>
  <si>
    <t>Statista</t>
  </si>
  <si>
    <t>IBISWorld</t>
  </si>
  <si>
    <t>NielsenIQ</t>
  </si>
  <si>
    <t>Circana</t>
  </si>
  <si>
    <t>Grand View Research</t>
  </si>
  <si>
    <t>N/A</t>
  </si>
  <si>
    <t>The Business Research Company</t>
  </si>
  <si>
    <t>https://saleshive.com/vendors/gartner#pricing</t>
  </si>
  <si>
    <t>Asked for scheduling the 30 mints call to discuss our requirements.</t>
  </si>
  <si>
    <t>Mordor Intelligence</t>
  </si>
  <si>
    <t>Same as Gartner: single-seat cost, minimum term, what a seat includes, per-report option</t>
  </si>
  <si>
    <t>Asked for scheduling the 20-30 mints call to discuss our requirements.</t>
  </si>
  <si>
    <t>Annual seat cost, minimum seats, minimum term, whether data export is included or extra</t>
  </si>
  <si>
    <t>USD</t>
  </si>
  <si>
    <t>Market definition, description, direction, analysis, representative vendors, vendor profiles and recommendations; focused on AI evaluation and observability platforms.</t>
  </si>
  <si>
    <t>Which AI evaluation/observability platforms and vendors should an enterprise consider?</t>
  </si>
  <si>
    <t xml:space="preserve">Asked for details </t>
  </si>
  <si>
    <t>Annual cost, how it is scoped (categories / countries / seats), whether a single report can be bought standalone</t>
  </si>
  <si>
    <t>Yes</t>
  </si>
  <si>
    <t>It does not provide a detailed sub-national market size or bespoke enterprise business case.</t>
  </si>
  <si>
    <t>Strong fit for vendor landscape/technology-market comparison.</t>
  </si>
  <si>
    <t>The Future of Marketing: 5 Trends and Predictions for 2026</t>
  </si>
  <si>
    <t>https://www.gartner.com/en/articles/future-of-marketing</t>
  </si>
  <si>
    <t>Asked for details to align with sales team.</t>
  </si>
  <si>
    <t>Annual cost, scope basis, standalone report option, and the licence terms if offered in writing</t>
  </si>
  <si>
    <t>CMOs: Discover the top marketing trends for 2026 to move faster, spend smarter, and outpace competitors</t>
  </si>
  <si>
    <t>Where will marketing be in 10 years?
What are the latest trends in marketing?</t>
  </si>
  <si>
    <t>Any sales executive will get in touch with us.</t>
  </si>
  <si>
    <t>Statista — Professional</t>
  </si>
  <si>
    <t>It does not provide a bespoke organization-specific data not including benchmarking, landscaping etc.</t>
  </si>
  <si>
    <t>Cost, seat count, what it adds over Personal, and which currency and region the quote is in</t>
  </si>
  <si>
    <t>Strong fit for understanding the future trends of marketing</t>
  </si>
  <si>
    <t>AI Adoption Across Regions, 2025</t>
  </si>
  <si>
    <t>Meeting scheduled with the team for Monday 2 pm IST.</t>
  </si>
  <si>
    <t>https://www.forrester.com/report/ai-adoption-across-regions-2025/RES188540?ref_search=0_1765213334770</t>
  </si>
  <si>
    <t>Cost of one named report, and why per-report pricing is not listed</t>
  </si>
  <si>
    <t>Annual seat cost, minimum term</t>
  </si>
  <si>
    <t>NielsenIQ or Circana</t>
  </si>
  <si>
    <t>Whether anything is purchasable below an enterprise contract</t>
  </si>
  <si>
    <t>Reference — already sourced. Do not redo these.</t>
  </si>
  <si>
    <t>Every figure below was read from the seller's own public page on the date shown.</t>
  </si>
  <si>
    <t>Asked for the quick chat to understand the details.</t>
  </si>
  <si>
    <t>Product</t>
  </si>
  <si>
    <t>Price</t>
  </si>
  <si>
    <t>Mintel only, and only if it arises naturally: we have an UNVERIFIED report that their licence prohibits uploading content to generative-AI tools. We could not confirm it on any public page. If a licence summary is offered in the normal course, ask for it in writing. Do not press for it. Until we see the clause, it does not exist.</t>
  </si>
  <si>
    <t>Source</t>
  </si>
  <si>
    <t>Observed</t>
  </si>
  <si>
    <t xml:space="preserve">North America, Europe and Asia-Pacific; AI investment, adoption, use cases, challenges and perceived impact.
</t>
  </si>
  <si>
    <t>How does AI adoption differ across major global regions?</t>
  </si>
  <si>
    <t>It provide geographic data not country-specific.</t>
  </si>
  <si>
    <t>Industry Research Report</t>
  </si>
  <si>
    <t>Data is based on Forrester Survey 2025</t>
  </si>
  <si>
    <t>Align AI Strategy And Value To Maximize Your Investments</t>
  </si>
  <si>
    <t>https://www.forrester.com/report/align-ai-strategy-and-value-to-maximize-your-investments/RES184635</t>
  </si>
  <si>
    <t>help.ibisworld.com</t>
  </si>
  <si>
    <t>2026-08-24</t>
  </si>
  <si>
    <t>Industry Spotlight Report</t>
  </si>
  <si>
    <t>10-20</t>
  </si>
  <si>
    <t>Legal Services Market Report 2026</t>
  </si>
  <si>
    <t>Jan 2026</t>
  </si>
  <si>
    <t>researchandmarkets.com/reports/5939734</t>
  </si>
  <si>
    <t>Beauty and Personal Care Products 2026</t>
  </si>
  <si>
    <t>researchandmarkets.com/reports/6103488</t>
  </si>
  <si>
    <t>2026-08-25</t>
  </si>
  <si>
    <t>Europe Ready Meals</t>
  </si>
  <si>
    <t>Aug 2026</t>
  </si>
  <si>
    <t>researchandmarkets.com/reports/5119613</t>
  </si>
  <si>
    <t>Aerospace &amp; Defence M&amp;A</t>
  </si>
  <si>
    <t>May 2025</t>
  </si>
  <si>
    <t>researchandmarkets.com/reports/5318572</t>
  </si>
  <si>
    <t>AI strategy, business alignment, value realization, ROI, enterprise transformation and reusable AI capabilities.</t>
  </si>
  <si>
    <t>How can an enterprise align AI investments with business value and ROI?</t>
  </si>
  <si>
    <t>AI In Clinical Documentation</t>
  </si>
  <si>
    <t>It does not provide a market-size forecast.</t>
  </si>
  <si>
    <t>Apr 2026</t>
  </si>
  <si>
    <t>researchandmarkets.com/reports/6246636</t>
  </si>
  <si>
    <t>Best suited to strategic decision-making rather than pure market sizing.</t>
  </si>
  <si>
    <t>Starter (billed annually)</t>
  </si>
  <si>
    <t>INR/mo</t>
  </si>
  <si>
    <t>statista.com/accounts/individuals</t>
  </si>
  <si>
    <t>Menswear in the United Kingdom</t>
  </si>
  <si>
    <t>https://lp.euromonitor.com/menswear-in-the-united-kingdom/report</t>
  </si>
  <si>
    <t>Personal (billed annually)</t>
  </si>
  <si>
    <t>Note: Statista prices are geo-localised — that page resolved to India. Any published comparison must state currency, region and observation date.</t>
  </si>
  <si>
    <t>The Menswear in United Kingdom report includes:
Analysis of key supply-side and demand trends
Detailed segmentation of international and local products
Historic volume and value sizes, company and brand market shares
Five year forecasts of market trends and market growth
Robust and transparent research methodology, conducted in-country</t>
  </si>
  <si>
    <t>What is the market size of Menswear in United Kingdom?
Which are the leading brands in United Kingdom?
How are products distributed in United Kingdom?
How is the rise of e-commerce shaping demand?
What % of apparel and footwear sales are made via grocery retailers?
Do consumers want premium quality or fast fashion?
How will COVID-19 and recession impact demand?
How important is sustainability in Menswear in United Kingdom?
Where is future growth expected to be most dynamic?</t>
  </si>
  <si>
    <t>It does not answer a bespoke micro-location question below its published market/geographic definitions.</t>
  </si>
  <si>
    <t>Public Euromonitor report page + downloadable sample/table of contents</t>
  </si>
  <si>
    <t>Well segmented report</t>
  </si>
  <si>
    <t>Computers and Peripherals in Portugal</t>
  </si>
  <si>
    <t>https://www.euromonitor.com/computers-and-peripherals-in-portugal/report</t>
  </si>
  <si>
    <t>The Computers and Peripherals in Portugal report includes:
Analysis of key supply-side and demand trends
Detailed segmentation of international and local products
Historic volume and value sizes, company and brand market shares
Five year forecasts of market trends and market growth
Robust and transparent research methodology, conducted in-country</t>
  </si>
  <si>
    <t>What is the market size of Computers and Peripherals in Portugal?
Which are the leading brands in Portugal?
How are products distributed in Portugal?
How is the rise of e-commerce changing the retail landscape?
How has COVID-19 and accordant macroeconomic and retail disruption impacted consumer demand?
How are considerations such as urban development and the rise in single-person households driving sales growth?
Where is technology taking the market? Which products are pioneering growth? Which face obsolescence?
Where is future growth expected to be most dynamic?</t>
  </si>
  <si>
    <t>It does not provide a city-level or individual-company demand forecast.</t>
  </si>
  <si>
    <t>Public report page + downloadable sample PDF/Excel</t>
  </si>
  <si>
    <t>Particularly strong for market size, category segmentation, company/brand shares, channels and forecasts.</t>
  </si>
  <si>
    <t>US Retail Trends Report 2025</t>
  </si>
  <si>
    <t>https://store.mintel.com/report/us-retail-trends-market-report</t>
  </si>
  <si>
    <t>US retail industry trends in 2025 reflect a landscape shaped by economic caution, technological innovation and evolving consumer priorities. The industry is stable, with sales expected to grow more than 2%. Consumers are balancing affordability and indulgence, splurging on small luxuries like dining experiences or beauty products while staying mindful of prices.
Emotional value is becoming more important, with brands building trust and personal connections alongside meeting expectations for the “basics” like price, selection and service. Loyalty programs are becoming more experiential, emphasizing personalized rewards and literal experiences.
Mobile technology continues to be a central part of retail tech innovation in general, with retailers focused on seamless integration across platforms. AI is continuing to play a crucial role in enhancing personalization and streamlining operations, with consumers warming up to its benefits. Quick commerce is expanding to meet demand for speed and convenience, while a continuing interest in sustainability keeps the circular economy thriving.</t>
  </si>
  <si>
    <t>What are the top 10 trends shaping the US retail and commerce industry, and how are they expected to evolve beyond 2025?
What key macroeconomic and external factors are impacting the US retail and ecommerce industry?
How are consumer attitudes and shopping behaviors changing in the US retail market?
What opportunities do these evolving consumer trends and behaviors create for retailers and brands?
What are Mintel’s estimates and forecasts for total US retail sales and ecommerce sales, and what methodology and data sources underpin these estimates?</t>
  </si>
  <si>
    <t>It does not provide a retailer-level commercial strategy or individual-company forecast.</t>
  </si>
  <si>
    <t>Mintel's public report summary</t>
  </si>
  <si>
    <t>https://clients.mintel.com/download/brochure/2025-retail-trends-us-2025</t>
  </si>
  <si>
    <t>Includes Mintel estimates/forecasts plus commissioned Kantar consumer research.</t>
  </si>
  <si>
    <t>UK Digital Lives of Consumers Report 2025</t>
  </si>
  <si>
    <t>https://store.mintel.com/report/uk-digital-lives-of-consumers-market-report</t>
  </si>
  <si>
    <t>Market dynamics, opportunities, Consumer insights, Innovation and market trends</t>
  </si>
  <si>
    <t>how much time they spend on their devices, to how comfortable they are with their screen time, and the trade off between utility and digital fatigue?
how the use of various apps and services changes throughout the day, and the strategies brands can use to engage with consumers in these moments?
How brands can leverage tools to streamline digital interactions and create more convenient shortcuts to reduce consumers’ least enjoyable tasks online?
Exploring consumer attitudes towards their digital lives, and how brands can leverage online behaviours and attitudes to build products and services to engage and serve consumers?</t>
  </si>
  <si>
    <t>It does not provide a full digital-market revenue forecast by technology/vendor.</t>
  </si>
  <si>
    <t>https://clients.mintel.com/download/brochure/digital-lives-of-consumers-uk-2025</t>
  </si>
  <si>
    <t>Particularly useful for consumer attitudes and behaviour rather than pure market sizing.</t>
  </si>
  <si>
    <t>https://pitchbook.com/webinars/q2-2026-pitchbook-nvca-venture-monitor</t>
  </si>
  <si>
    <t>Data not reported due to PitchBook's subscription-based research model; detailed report metadata/pricing and full report content are not consistently publicly disclosed, Also the site contain quarter based reports.</t>
  </si>
  <si>
    <t>https://www.cbinsights.com/research/state-of</t>
  </si>
  <si>
    <t>Data not reported due to CB Insights subscription-based research model; detailed report metadata/pricing and full report content are not consistently publicly disclosed.Also, the site contain quarter based reports.</t>
  </si>
  <si>
    <t>https://www.cbinsights.com/research/report/digital-health-trends-q2-2026/</t>
  </si>
  <si>
    <t>E-commerce worldwide</t>
  </si>
  <si>
    <t>https://www.statista.com/study/10653/e-commerce-worldwide-statista-dossier/</t>
  </si>
  <si>
    <t>This report presents statistics and facts on the global online retail e-commerce market. It includes data regarding the global e-commerce market volume as well as information on the biggest online shopping platforms, online traffic metrics, digital shopping behavior, online payments, and AI adoption.</t>
  </si>
  <si>
    <t>What is the current and projected size of the global e-commerce market, and how is revenue expected to evolve by segment and geography through 2030?
Who are the leading players in global e-commerce, and how do they rank based on online sales, marketplace GMV, market capitalization, acquisitions, and social commerce penetration?
How are global online shopping traffic, purchase channels, conversion rates, website visits, and orders evolving across devices and retail categories?
How are consumer shopping behaviors changing globally, including spending per visit, products purchased per order, cart abandonment, purchase inspiration, product search, and social media influence?
How is the digital payments landscape evolving in global e-commerce, including payment methods, PayPal adoption, cryptocurrency acceptance, and Buy Now, Pay Later usage?</t>
  </si>
  <si>
    <t>It does not provide company-level e-commerce strategy.</t>
  </si>
  <si>
    <t>Statista's AI Market Insights provides detailed methodology and market structure.</t>
  </si>
  <si>
    <t>Artificial Intelligence – Worldwide / Market Insights</t>
  </si>
  <si>
    <t>https://www.statista.com/outlook/tmo/artificial-intelligence/worldwide</t>
  </si>
  <si>
    <t>This report includes market size, Annual AI publication, deployment frequecy, analyst opinion, global comparison, methodolgy, key market indicators.</t>
  </si>
  <si>
    <t>In-Scope
Natural language processing tools, such as chatbots and speech recognition
Computer vision applications, such as object detection or face recognition
Machine learning tools, such as trained algorithms.</t>
  </si>
  <si>
    <t>Out-Of-Scope
Robotics hardware, such as hardware used to build robots
Enterprise resource planning (ERP) software, such as SAP
Web development services, such as services intended for coding and designing websites.</t>
  </si>
  <si>
    <t>Family Counseling &amp; Crisis Intervention Services in the US Industry Data and Analysis</t>
  </si>
  <si>
    <t>https://www.ibisworld.com/united-states/industry/family-counseling-crisis-intervention-services/1608/</t>
  </si>
  <si>
    <t>The Performance chapter covers detailed analysis, datasets, detailed current performance, sources of volatility and an outlook with forecasts for the Family Counseling &amp; Crisis Intervention Services industry in the United States.</t>
  </si>
  <si>
    <t>Questions answered in this chapter include what's driving current industry performance, what influences industry volatility, how do successful businesses overcome volatility, what's driving the industry outlook. This analysis is supported with data and statistics on industry revenues, costs, profits, businesses and employees.</t>
  </si>
  <si>
    <t>It is not feasibility study for an individual hotel development.</t>
  </si>
  <si>
    <t>Particularly useful for industry structure, operating ratios, competition and five-year forecasts.</t>
  </si>
  <si>
    <t>Healthcare Consulting in the US Industry Data and Analysis</t>
  </si>
  <si>
    <t>https://www.ibisworld.com/united-states/industry/healthcare-consulting/5496/</t>
  </si>
  <si>
    <t>Industry Overview: Industry definition, scope, services, NAICS classification, and key companies.
Performance Analysis: Industry revenue, costs, profits, employment, business activity, volatility, and outlook.
Products &amp; Markets: Segmentation of consulting services, major end markets, service performance, innovation, and demand drivers.
Geographic Breakdown: Regional distribution of industry activity, revenues, and businesses across the US.
Competitive Forces: Market concentration, barriers to entry, substitutes, and buyer and supplier power.
Company Analysis: Key players, market shares, competitive positioning, and company performance.
External Environment: Macroeconomic conditions, demographic factors, regulations, policies, and government assistance.
Financial Benchmarks: Cost structure, profitability, financial ratios, valuation multiples, and key financial indicators.
Industry Data: 10 years of historical data and 5 years of forecasts covering revenue, industry value added, establishments, enterprises, employment, and wages.</t>
  </si>
  <si>
    <t>What is the current size, performance, and outlook of the US Healthcare Consulting industry?
What are the key products and services offered, and how are demand and revenues evolving across segments and major healthcare markets?
What factors are driving industry growth, volatility, costs, profitability, and future performance?
Who are the leading companies in the industry, what are their market shares, and how are they performing?
How competitive is the US Healthcare Consulting industry in terms of market concentration, barriers to entry, substitutes, and buyer and supplier power?
Which geographic regions account for the largest share of industry activity and revenue, and what advantages do different locations offer?
What macroeconomic, demographic, regulatory, policy, and government-support factors are influencing the industry?
What are the industry's key financial benchmarks, including cost structure, profitability, financial ratios, and valuation multiples?
What are the historical trends and five-year forecasts for industry revenue, employment, wages, establishments, enterprises, and industry value added?</t>
  </si>
  <si>
    <t>It does not provide a company-specific business plan or investment recommendation.</t>
  </si>
  <si>
    <t>Strong for industry economics, competition and operating benchmarks.</t>
  </si>
  <si>
    <t>Consumer Tech Industry Trends 2025</t>
  </si>
  <si>
    <t>http://nielseniq.com/global/en/insights/report/2025/consumer-tech-industry-trends-2025/</t>
  </si>
  <si>
    <t xml:space="preserve">This report, the latest in our ongoing “State of Tech &amp; Durables” series, highlights the dynamics impacting today’s consumer tech industry—focusing on the “digital” sectors of Home Entertainment and Gaming, Smartphones, Health Tech, and Workspace Tech.  </t>
  </si>
  <si>
    <t>What’s driving growth in “digital” sectors of home entertainment, smartphones, health tech, and workspace tech?</t>
  </si>
  <si>
    <t>It is not a detailed vendor market-share database for individual technology manufacturers.</t>
  </si>
  <si>
    <t>Including Analyst comment and insights.</t>
  </si>
  <si>
    <t>Consumer Outlook: Guide to 2026</t>
  </si>
  <si>
    <t>https://nielseniq.com/global/en/insights/report/2025/consumer-outlook-guide-to-2026</t>
  </si>
  <si>
    <t>Consumer sentiment: Financial confidence, concerns, and spending outlook for 2026.
Economic environment: Impact of inflation, interest rates, tariffs, geopolitics, and employment.
Consumer behavior: Changes in spending, shopping frequency, basket size, and income strategies.
FMCG performance: Global sales, volume, pricing, and category-level growth trends.
Regional insights: Differences in consumer sentiment and market performance across countries and regions.
Growth opportunities: Key strategies for retailers and manufacturers, including private label, innovation, convenience, and retail media.</t>
  </si>
  <si>
    <t>How are global economic uncertainty, inflation, geopolitical risks, and changing consumer sentiment shaping spending behavior and the consumer outlook for 2026?
How are consumers adapting their spending, shopping frequency, basket sizes, and income strategies amid persistent cost-of-living pressures and financial uncertainty?
What are the key consumer concerns entering 2026, and how are factors such as inflation, food prices, interest rates, job security, tariffs, and geopolitical conflict influencing purchasing decisions?
How are global FMCG markets performing in terms of value sales, volume growth, pricing, and category-level trends, and which categories and regions offer the strongest growth opportunities?
What strategic opportunities should retailers and manufacturers pursue to win cautious but increasingly confident consumers, particularly through pricing, private label, innovation, convenience, retail media, social commerce, and seamless commerce?</t>
  </si>
  <si>
    <t>It is not a conventional market-size report with detailed TAM/SAM/SOM calculations.</t>
  </si>
  <si>
    <t>Combines survey and purchase data and covers the outlook for the next 12–18 months and beyond.</t>
  </si>
  <si>
    <t>2025 U.S. Holiday Purchase Intentions</t>
  </si>
  <si>
    <t>https://www.circana.com/post/2025-u-s-holiday-purchase-intentions-report</t>
  </si>
  <si>
    <t>report, 2025 U.S. Holiday Purchase Intentions, reveals what’s driving consumer behavior — from price sensitivity and mobile shopping to social media influence and gifting trends.</t>
  </si>
  <si>
    <t>How U.S. shoppers are planning and spending this holiday season?</t>
  </si>
  <si>
    <t>It is seasonal and US-specific rather than a long-term global retail forecast.</t>
  </si>
  <si>
    <t>Circana reports spending expected to increase 3%, with beauty, technology and home among growth categories.</t>
  </si>
  <si>
    <t>Circana Report Highlights the Role of Personalization in Supporting GLP-1 Weight-Loss Users</t>
  </si>
  <si>
    <t>https://www.circana.com/post/circana-report-highlights-the-role-of-personalization-in-supporting-glp-1-weight-loss-users</t>
  </si>
  <si>
    <t>GLP-1 consumer behavior: Changes in purchasing and spending patterns among GLP-1 users.
Food &amp; beverage impact: Shifts toward protein, vegetables, fruits, and reduced sugar, carbohydrates, and sodium.
Retail &amp; dining trends: Changes in grocery, foodservice, restaurant, and dining-out spending.
Product opportunities: Growth opportunities in high-protein foods, ready-to-eat meals, portion-controlled snacks, and health-focused products.
Cross-industry opportunities: Potential for innovation and collaboration across food, beverage, beauty, wellness, and pharmaceutical sectors.
Strategic implications: Opportunities for brands to develop personalized products, targeted marketing, and solutions supporting long-term health and wellness.</t>
  </si>
  <si>
    <t>How are GLP-1 medications changing consumer spending and purchasing behavior?
How do GLP-1 users’ food, beverage, grocery, and dining-out preferences differ from other consumers?
Which product categories are gaining or losing demand among GLP-1 users?
What product innovation and growth opportunities are emerging for brands serving GLP-1 consumers?
How can food, beverage, beauty, wellness, and pharmaceutical companies adapt their products, services, and marketing strategies to meet the evolving needs of GLP-1 users?</t>
  </si>
  <si>
    <t>It does not provide a complete market-size forecast for the GLP-1 pharmaceutical market itself.</t>
  </si>
  <si>
    <t>Particularly useful for consumer behaviour and category opportunity analysis.</t>
  </si>
  <si>
    <t>U.S. Hotels Market Size &amp; Trends</t>
  </si>
  <si>
    <t>https://www.grandviewresearch.com/industry-analysis/us-hotels-market-report</t>
  </si>
  <si>
    <t>US hotels by price range, ownership model and booking mode; revenue forecasts, company ranking, competitive landscape and trends.</t>
  </si>
  <si>
    <t>How big is the U.S. hotel market?
What is the U.S. hotel market growth?
Which segment accounted for the largest U.S. hotel market share?
Who are the key players in the U.S. hotel market?
What are the factors driving the U.S. hotel market?</t>
  </si>
  <si>
    <t>It does not provide hotel development feasibility model.</t>
  </si>
  <si>
    <t>Table of Contents is well-defined.</t>
  </si>
  <si>
    <t>Laptop Market – Size, Share &amp; Trends Analysis Report</t>
  </si>
  <si>
    <t>https://www.grandviewresearch.com/industry-analysis/laptop-market</t>
  </si>
  <si>
    <t>Laptops by type, screen size, price, end use and region; revenue forecasts, company share, competitive landscape and trends.</t>
  </si>
  <si>
    <t>Which region dominated the laptop market?
Who are the key players in laptop market?
Which type segment leads the laptop market?
Which screen size segment leads the laptop market?
Which price segment dominated the laptop market?
Which end use leads the laptop market?
What are the factors driving the laptop market?
How big is the laptop market?
What is the laptop market growth?</t>
  </si>
  <si>
    <t>It does not provide a company-specific product strategy or sales forecast.</t>
  </si>
  <si>
    <t>For the laptop report, the public page also gives the segmentation in detail: type, screen size, price, end use and region.</t>
  </si>
  <si>
    <t>Market Research Services Market Report 2026</t>
  </si>
  <si>
    <t>https://www.thebusinessresearchcompany.com/report/market-research-services-global-market-report?utm_source=chatgpt.com</t>
  </si>
  <si>
    <t>By type, research methodology and end-use industry; historical market size, forecast market size, regional shares, competitors, trends, opportunities and strategies.</t>
  </si>
  <si>
    <t>What Is Covered Under Market Research Services Market?
What Is The Market Research Services Market Size and Share 2026?
What Is The Market Research Services Market Growth Forecast?
What Is The Driver Of The Market Research Services Market?
What Are Latest Mergers And Acquisitions In The Market Research Services Market?
What Defines the Market Research Services Market?
How is Market Value Defined and Measured?
What Key Data and Analysis Are Included in the Market Research Services Market Report 2026?</t>
  </si>
  <si>
    <t>It does not provide a research procurement recommendation for a specific company.</t>
  </si>
  <si>
    <t>Provided Global Outlook – By Type (Marketing Research And Analysis Services, Public Opinion And Election Polling), By Research Methodology (Qualitative Research, Quantitative Research, Hybrid / Mixed-Method Research), By End Use Industry (FMCG, Media, Healthcare &amp; Life Science, Professional Services, Others End Use Industries) – Market Size, Trends, Strategies, and Forecast to 2030</t>
  </si>
  <si>
    <t>Investment Research Platform Market Report 2026</t>
  </si>
  <si>
    <t>https://www.thebusinessresearchcompany.com/report/investment-research-platform-global-market-report?utm_source=chatgpt.com</t>
  </si>
  <si>
    <t>Investment research platforms, market size, growth, technology trends, market segments, regions and competitive landscape.</t>
  </si>
  <si>
    <t>How big is the Investment Research Platform Market?
What is the Investment Research Platform market growth?
Who are the key players in Investment Research Platform market?
What is the anticipated growth trend for the Investment Research Platform market?
Which region has the most growth potential in the Investment Research Platform market?</t>
  </si>
  <si>
    <t>It does not provide investment-platform selection exercise.</t>
  </si>
  <si>
    <t xml:space="preserve">INDIA WELLNESS TOURISM MARKET SIZE &amp; SHARE ANALYSIS - GROWTH TRENDS AND FORECAST (2026 - 2031)
</t>
  </si>
  <si>
    <t>https://www.mordorintelligence.com/industry-reports/india-wellness-tourism-market</t>
  </si>
  <si>
    <t>Wellness tourism by service type, traveller type, accommodation type and geography; market size, forecasts, growth drivers, players and regional trends.</t>
  </si>
  <si>
    <t>What is the 2026 size and 2031 outlook for the India wellness tourism market?
Which offerings are leading and growing fastest in India’s wellness travel?
How do visas and hotel tax slabs affect demand for wellness travel in India?
How are insurance policies changing traveler behavior in India’s wellness space?
Which regions lead today, and where is growth strongest in India’s wellness tourism?</t>
  </si>
  <si>
    <t>It does not provide individual wellness-resort feasibility or project-level capex/revenue forecasts.</t>
  </si>
  <si>
    <t>Strong fit with your current wellness/hospitality benchmarking work.</t>
  </si>
  <si>
    <t>LUXURY HOTEL MARKET SIZE &amp; SHARE ANALYSIS - GROWTH TRENDS AND FORECAST (2026 - 2031)</t>
  </si>
  <si>
    <t>https://www.mordorintelligence.com/industry-reports/luxury-hotel-market</t>
  </si>
  <si>
    <t>Luxury hotels by service type, room type, booking channel and geography; market size, forecasts, competitive landscape and trends.</t>
  </si>
  <si>
    <t>What is the luxury hotel market size in 2026 and its growth outlook through 2031?
Which service type grows fastest within the luxury hotel market through 2031?
Which room type is gaining the most momentum in premium properties?
What booking channels will see the strongest growth for luxury stays?
Which region leads today, and which is growing the fastest for luxury hotels?
How are sustainability certifications influencing luxury hotel demand?</t>
  </si>
  <si>
    <t>It does not provide project-level hotel development economics.</t>
  </si>
  <si>
    <t>Particularly useful for hospitality benchmarking and global segmentation.</t>
  </si>
  <si>
    <t>Segments across ten European countries; mass and premium</t>
  </si>
  <si>
    <t>Premium ready meals in Southeast England</t>
  </si>
  <si>
    <t>No</t>
  </si>
  <si>
    <t>The sub-national, sub-category intersection. The report answers a neighbouring question at the publisher's chosen level of definition</t>
  </si>
  <si>
    <t>EXAMPLE — already done, showing the shape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</si>
</sst>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yyyy-mm-dd"/>
    <numFmt numFmtId="166" formatCode="d mmm yyyy"/>
    <numFmt numFmtId="167" formatCode="mmmm yyyy"/>
    <numFmt numFmtId="168" formatCode="dd mmmm yyyy"/>
    <numFmt numFmtId="169" formatCode="d mmmm yyyy"/>
    <numFmt numFmtId="170" formatCode="mmm d, yyyy"/>
    <numFmt numFmtId="171" formatCode="mmmm d, yyyy"/>
  </numFmts>
  <fonts count="26">
    <font>
      <sz val="11.0"/>
      <color theme="1"/>
      <name val="Calibri"/>
      <scheme val="minor"/>
    </font>
    <font>
      <b/>
      <sz val="20.0"/>
      <color rgb="FF12110F"/>
      <name val="Calibri"/>
    </font>
    <font>
      <sz val="10.0"/>
      <color rgb="FF7C7973"/>
      <name val="Calibri"/>
    </font>
    <font>
      <b/>
      <sz val="9.0"/>
      <color rgb="FF7C7973"/>
      <name val="Calibri"/>
    </font>
    <font>
      <sz val="10.0"/>
      <color rgb="FF12110F"/>
      <name val="Calibri"/>
    </font>
    <font>
      <b/>
      <sz val="11.0"/>
      <color rgb="FF12110F"/>
      <name val="Calibri"/>
    </font>
    <font>
      <b/>
      <sz val="15.0"/>
      <color rgb="FF12110F"/>
      <name val="Calibri"/>
    </font>
    <font>
      <b/>
      <sz val="10.0"/>
      <color rgb="FFE8453C"/>
      <name val="Calibri"/>
    </font>
    <font>
      <b/>
      <sz val="9.0"/>
      <color rgb="FF12110F"/>
      <name val="Calibri"/>
    </font>
    <font>
      <b/>
      <sz val="10.0"/>
      <color rgb="FF12110F"/>
      <name val="Calibri"/>
    </font>
    <font>
      <i/>
      <sz val="10.0"/>
      <color rgb="FF12110F"/>
      <name val="Calibri"/>
    </font>
    <font>
      <sz val="10.0"/>
      <color theme="1"/>
      <name val="Calibri"/>
    </font>
    <font>
      <sz val="9.0"/>
      <color rgb="FF7C7973"/>
      <name val="Calibri"/>
    </font>
    <font>
      <u/>
      <sz val="10.0"/>
      <color rgb="FF0000FF"/>
      <name val="Calibri"/>
    </font>
    <font>
      <i/>
      <sz val="10.0"/>
      <color rgb="FF7C7973"/>
      <name val="Calibri"/>
    </font>
    <font>
      <u/>
      <sz val="10.0"/>
      <color rgb="FF0000FF"/>
      <name val="Calibri"/>
    </font>
    <font/>
    <font>
      <i/>
      <sz val="9.0"/>
      <color rgb="FFE8453C"/>
      <name val="Calibri"/>
    </font>
    <font>
      <u/>
      <sz val="10.0"/>
      <color rgb="FF0000FF"/>
      <name val="Calibri"/>
    </font>
    <font>
      <u/>
      <sz val="10.0"/>
      <color rgb="FF0000FF"/>
      <name val="Calibri"/>
    </font>
    <font>
      <u/>
      <sz val="10.0"/>
      <color rgb="FF0000FF"/>
      <name val="Calibri"/>
    </font>
    <font>
      <b/>
      <sz val="10.0"/>
      <color theme="1"/>
      <name val="Calibri"/>
    </font>
    <font>
      <color theme="1"/>
      <name val="Calibri"/>
      <scheme val="minor"/>
    </font>
    <font>
      <u/>
      <color rgb="FF0000FF"/>
    </font>
    <font>
      <u/>
      <color rgb="FF0000FF"/>
    </font>
    <font>
      <i/>
      <sz val="9.0"/>
      <color rgb="FF7C7973"/>
      <name val="Calibri"/>
    </font>
  </fonts>
  <fills count="6">
    <fill>
      <patternFill patternType="none"/>
    </fill>
    <fill>
      <patternFill patternType="lightGray"/>
    </fill>
    <fill>
      <patternFill patternType="solid">
        <fgColor rgb="FFF2F0EC"/>
        <bgColor rgb="FFF2F0EC"/>
      </patternFill>
    </fill>
    <fill>
      <patternFill patternType="solid">
        <fgColor rgb="FFFDF0EF"/>
        <bgColor rgb="FFFDF0EF"/>
      </patternFill>
    </fill>
    <fill>
      <patternFill patternType="solid">
        <fgColor rgb="FFFFFDF3"/>
        <bgColor rgb="FFFFFDF3"/>
      </patternFill>
    </fill>
    <fill>
      <patternFill patternType="solid">
        <fgColor rgb="FFF4F4F2"/>
        <bgColor rgb="FFF4F4F2"/>
      </patternFill>
    </fill>
  </fills>
  <borders count="10">
    <border/>
    <border>
      <left style="thin">
        <color rgb="FFE2E0DB"/>
      </left>
      <right style="thin">
        <color rgb="FFE2E0DB"/>
      </right>
      <top style="thin">
        <color rgb="FFE2E0DB"/>
      </top>
      <bottom style="thin">
        <color rgb="FFE2E0DB"/>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E2E0DB"/>
      </left>
      <right style="thin">
        <color rgb="FFE2E0DB"/>
      </right>
      <top style="thin">
        <color rgb="FFE2E0DB"/>
      </top>
    </border>
    <border>
      <left style="thin">
        <color rgb="FFE2E0DB"/>
      </left>
      <right style="thin">
        <color rgb="FFE2E0DB"/>
      </right>
      <bottom style="thin">
        <color rgb="FFE2E0DB"/>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Font="1"/>
    <xf borderId="0" fillId="0" fontId="2" numFmtId="0" xfId="0" applyAlignment="1" applyFont="1">
      <alignment shrinkToFit="0" vertical="top" wrapText="1"/>
    </xf>
    <xf borderId="0" fillId="0" fontId="7" numFmtId="0" xfId="0" applyAlignment="1" applyFont="1">
      <alignment shrinkToFit="0" vertical="top" wrapText="1"/>
    </xf>
    <xf borderId="1" fillId="2" fontId="8" numFmtId="0" xfId="0" applyAlignment="1" applyBorder="1" applyFill="1" applyFont="1">
      <alignment shrinkToFit="0" vertical="center" wrapText="1"/>
    </xf>
    <xf borderId="2" fillId="2" fontId="9" numFmtId="0" xfId="0" applyAlignment="1" applyBorder="1" applyFill="1" applyFont="1">
      <alignment horizontal="center" shrinkToFit="0" vertical="center" wrapText="1"/>
    </xf>
    <xf borderId="3" fillId="3" fontId="10" numFmtId="0" xfId="0" applyAlignment="1" applyBorder="1" applyFill="1" applyFont="1">
      <alignment shrinkToFit="0" vertical="top" wrapText="1"/>
    </xf>
    <xf borderId="2" fillId="2" fontId="9" numFmtId="0" xfId="0" applyAlignment="1" applyBorder="1" applyFill="1" applyFont="1">
      <alignment horizontal="center" readingOrder="0" shrinkToFit="0" vertical="center" wrapText="1"/>
    </xf>
    <xf borderId="1" fillId="0" fontId="4" numFmtId="0" xfId="0" applyAlignment="1" applyBorder="1" applyFont="1">
      <alignment shrinkToFit="0" vertical="top" wrapText="1"/>
    </xf>
    <xf borderId="1" fillId="0" fontId="7" numFmtId="0" xfId="0" applyAlignment="1" applyBorder="1" applyFont="1">
      <alignment horizontal="center" vertical="top"/>
    </xf>
    <xf borderId="1" fillId="4" fontId="11" numFmtId="0" xfId="0" applyAlignment="1" applyBorder="1" applyFill="1" applyFont="1">
      <alignment shrinkToFit="0" vertical="top" wrapText="1"/>
    </xf>
    <xf borderId="1" fillId="0" fontId="9" numFmtId="0" xfId="0" applyAlignment="1" applyBorder="1" applyFont="1">
      <alignment shrinkToFit="0" vertical="top" wrapText="1"/>
    </xf>
    <xf borderId="1" fillId="0" fontId="12" numFmtId="0" xfId="0" applyAlignment="1" applyBorder="1" applyFont="1">
      <alignment shrinkToFit="0" vertical="top" wrapText="1"/>
    </xf>
    <xf borderId="4" fillId="0" fontId="9" numFmtId="0" xfId="0" applyAlignment="1" applyBorder="1" applyFont="1">
      <alignment horizontal="center" shrinkToFit="0" vertical="center" wrapText="1"/>
    </xf>
    <xf borderId="1" fillId="4" fontId="11" numFmtId="0" xfId="0" applyAlignment="1" applyBorder="1" applyFill="1" applyFont="1">
      <alignment readingOrder="0" shrinkToFit="0" vertical="top" wrapText="1"/>
    </xf>
    <xf borderId="2" fillId="4" fontId="11" numFmtId="0" xfId="0" applyAlignment="1" applyBorder="1" applyFill="1" applyFont="1">
      <alignment readingOrder="0" shrinkToFit="0" vertical="center" wrapText="1"/>
    </xf>
    <xf borderId="1" fillId="4" fontId="11" numFmtId="164" xfId="0" applyAlignment="1" applyBorder="1" applyFill="1" applyFont="1" applyNumberFormat="1">
      <alignment readingOrder="0" shrinkToFit="0" vertical="top" wrapText="1"/>
    </xf>
    <xf borderId="1" fillId="4" fontId="11" numFmtId="165" xfId="0" applyAlignment="1" applyBorder="1" applyFill="1" applyFont="1" applyNumberFormat="1">
      <alignment shrinkToFit="0" vertical="top" wrapText="1"/>
    </xf>
    <xf borderId="2" fillId="4" fontId="13" numFmtId="0" xfId="0" applyAlignment="1" applyBorder="1" applyFill="1" applyFont="1">
      <alignment readingOrder="0" shrinkToFit="0" vertical="center" wrapText="1"/>
    </xf>
    <xf borderId="1" fillId="5" fontId="14" numFmtId="0" xfId="0" applyAlignment="1" applyBorder="1" applyFill="1" applyFont="1">
      <alignment shrinkToFit="0" vertical="top" wrapText="1"/>
    </xf>
    <xf borderId="2" fillId="4" fontId="11" numFmtId="166" xfId="0" applyAlignment="1" applyBorder="1" applyFill="1" applyFont="1" applyNumberFormat="1">
      <alignment readingOrder="0" shrinkToFit="0" vertical="center" wrapText="1"/>
    </xf>
    <xf borderId="2" fillId="4" fontId="11" numFmtId="0" xfId="0" applyAlignment="1" applyBorder="1" applyFill="1" applyFont="1">
      <alignment horizontal="center" readingOrder="0" shrinkToFit="0" vertical="center" wrapText="1"/>
    </xf>
    <xf borderId="2" fillId="4" fontId="15" numFmtId="0" xfId="0" applyAlignment="1" applyBorder="1" applyFill="1" applyFont="1">
      <alignment horizontal="left" readingOrder="0" shrinkToFit="0" vertical="center" wrapText="1"/>
    </xf>
    <xf borderId="5" fillId="0" fontId="16" numFmtId="0" xfId="0" applyBorder="1" applyFont="1"/>
    <xf borderId="1" fillId="0" fontId="4" numFmtId="0" xfId="0" applyAlignment="1" applyBorder="1" applyFont="1">
      <alignment horizontal="center" vertical="top"/>
    </xf>
    <xf borderId="2" fillId="4" fontId="11" numFmtId="167" xfId="0" applyAlignment="1" applyBorder="1" applyFill="1" applyFont="1" applyNumberFormat="1">
      <alignment readingOrder="0" shrinkToFit="0" vertical="center" wrapText="1"/>
    </xf>
    <xf borderId="0" fillId="0" fontId="17" numFmtId="0" xfId="0" applyAlignment="1" applyFont="1">
      <alignment shrinkToFit="0" vertical="top" wrapText="1"/>
    </xf>
    <xf borderId="1" fillId="5" fontId="4" numFmtId="0" xfId="0" applyAlignment="1" applyBorder="1" applyFill="1" applyFont="1">
      <alignment shrinkToFit="0" vertical="top" wrapText="1"/>
    </xf>
    <xf borderId="1" fillId="5" fontId="4" numFmtId="3" xfId="0" applyAlignment="1" applyBorder="1" applyFill="1" applyFont="1" applyNumberFormat="1">
      <alignment shrinkToFit="0" vertical="top" wrapText="1"/>
    </xf>
    <xf borderId="2" fillId="4" fontId="18" numFmtId="0" xfId="0" applyAlignment="1" applyBorder="1" applyFill="1" applyFont="1">
      <alignment readingOrder="0" shrinkToFit="0" vertical="center" wrapText="1"/>
    </xf>
    <xf borderId="2" fillId="4" fontId="19" numFmtId="0" xfId="0" applyAlignment="1" applyBorder="1" applyFill="1" applyFont="1">
      <alignment readingOrder="0" shrinkToFit="0" vertical="top" wrapText="1"/>
    </xf>
    <xf borderId="0" fillId="0" fontId="17" numFmtId="0" xfId="0" applyFont="1"/>
    <xf borderId="2" fillId="4" fontId="11" numFmtId="3" xfId="0" applyAlignment="1" applyBorder="1" applyFill="1" applyFont="1" applyNumberFormat="1">
      <alignment horizontal="center" readingOrder="0" shrinkToFit="0" vertical="center" wrapText="1"/>
    </xf>
    <xf borderId="2" fillId="4" fontId="20" numFmtId="0" xfId="0" applyAlignment="1" applyBorder="1" applyFill="1" applyFont="1">
      <alignment readingOrder="0" shrinkToFit="0" vertical="top" wrapText="1"/>
    </xf>
    <xf borderId="2" fillId="4" fontId="11" numFmtId="0" xfId="0" applyAlignment="1" applyBorder="1" applyFill="1" applyFont="1">
      <alignment readingOrder="0" shrinkToFit="0" vertical="top" wrapText="1"/>
    </xf>
    <xf borderId="4" fillId="4" fontId="21" numFmtId="0" xfId="0" applyAlignment="1" applyBorder="1" applyFill="1" applyFont="1">
      <alignment horizontal="center" readingOrder="0" shrinkToFit="0" vertical="center" wrapText="1"/>
    </xf>
    <xf borderId="0" fillId="0" fontId="22" numFmtId="0" xfId="0" applyAlignment="1" applyFont="1">
      <alignment readingOrder="0" shrinkToFit="0" wrapText="1"/>
    </xf>
    <xf borderId="2" fillId="4" fontId="11" numFmtId="0" xfId="0" applyAlignment="1" applyBorder="1" applyFill="1" applyFont="1">
      <alignment shrinkToFit="0" vertical="top" wrapText="1"/>
    </xf>
    <xf borderId="6" fillId="0" fontId="22" numFmtId="0" xfId="0" applyAlignment="1" applyBorder="1" applyFont="1">
      <alignment readingOrder="0" shrinkToFit="0" wrapText="1"/>
    </xf>
    <xf borderId="7" fillId="0" fontId="16" numFmtId="0" xfId="0" applyBorder="1" applyFont="1"/>
    <xf borderId="4" fillId="0" fontId="21" numFmtId="0" xfId="0" applyAlignment="1" applyBorder="1" applyFont="1">
      <alignment horizontal="center" readingOrder="0" shrinkToFit="0" vertical="center" wrapText="1"/>
    </xf>
    <xf borderId="0" fillId="0" fontId="22" numFmtId="0" xfId="0" applyAlignment="1" applyFont="1">
      <alignment readingOrder="0" vertical="center"/>
    </xf>
    <xf borderId="2" fillId="4" fontId="11" numFmtId="0" xfId="0" applyAlignment="1" applyBorder="1" applyFill="1" applyFont="1">
      <alignment shrinkToFit="0" vertical="center" wrapText="1"/>
    </xf>
    <xf borderId="8" fillId="0" fontId="9" numFmtId="0" xfId="0" applyAlignment="1" applyBorder="1" applyFont="1">
      <alignment horizontal="center" shrinkToFit="0" vertical="center" wrapText="1"/>
    </xf>
    <xf borderId="9" fillId="0" fontId="16" numFmtId="0" xfId="0" applyBorder="1" applyFont="1"/>
    <xf borderId="2" fillId="4" fontId="11" numFmtId="168" xfId="0" applyAlignment="1" applyBorder="1" applyFill="1" applyFont="1" applyNumberFormat="1">
      <alignment readingOrder="0" shrinkToFit="0" vertical="center" wrapText="1"/>
    </xf>
    <xf borderId="2" fillId="4" fontId="11" numFmtId="169" xfId="0" applyAlignment="1" applyBorder="1" applyFill="1" applyFont="1" applyNumberFormat="1">
      <alignment readingOrder="0" shrinkToFit="0" vertical="center" wrapText="1"/>
    </xf>
    <xf borderId="2" fillId="4" fontId="11" numFmtId="170" xfId="0" applyAlignment="1" applyBorder="1" applyFill="1" applyFont="1" applyNumberFormat="1">
      <alignment readingOrder="0" shrinkToFit="0" vertical="center" wrapText="1"/>
    </xf>
    <xf borderId="2" fillId="0" fontId="22" numFmtId="0" xfId="0" applyAlignment="1" applyBorder="1" applyFont="1">
      <alignment readingOrder="0" vertical="center"/>
    </xf>
    <xf borderId="2" fillId="0" fontId="23" numFmtId="0" xfId="0" applyAlignment="1" applyBorder="1" applyFont="1">
      <alignment readingOrder="0" shrinkToFit="0" vertical="center" wrapText="1"/>
    </xf>
    <xf borderId="2" fillId="0" fontId="22" numFmtId="167" xfId="0" applyAlignment="1" applyBorder="1" applyFont="1" applyNumberFormat="1">
      <alignment readingOrder="0" vertical="center"/>
    </xf>
    <xf borderId="2" fillId="0" fontId="22" numFmtId="0" xfId="0" applyAlignment="1" applyBorder="1" applyFont="1">
      <alignment vertical="center"/>
    </xf>
    <xf borderId="2" fillId="0" fontId="22" numFmtId="0" xfId="0" applyAlignment="1" applyBorder="1" applyFont="1">
      <alignment readingOrder="0" shrinkToFit="0" vertical="center" wrapText="1"/>
    </xf>
    <xf borderId="0" fillId="0" fontId="22" numFmtId="0" xfId="0" applyAlignment="1" applyFont="1">
      <alignment vertical="center"/>
    </xf>
    <xf borderId="2" fillId="0" fontId="24" numFmtId="0" xfId="0" applyAlignment="1" applyBorder="1" applyFont="1">
      <alignment readingOrder="0" vertical="center"/>
    </xf>
    <xf borderId="2" fillId="0" fontId="22" numFmtId="3" xfId="0" applyAlignment="1" applyBorder="1" applyFont="1" applyNumberFormat="1">
      <alignment readingOrder="0" vertical="center"/>
    </xf>
    <xf borderId="2" fillId="0" fontId="22" numFmtId="171" xfId="0" applyAlignment="1" applyBorder="1" applyFont="1" applyNumberFormat="1">
      <alignment readingOrder="0" vertical="center"/>
    </xf>
    <xf borderId="2" fillId="0" fontId="22" numFmtId="166" xfId="0" applyAlignment="1" applyBorder="1" applyFont="1" applyNumberFormat="1">
      <alignment readingOrder="0" shrinkToFit="0" vertical="center" wrapText="1"/>
    </xf>
    <xf borderId="2" fillId="0" fontId="22" numFmtId="0" xfId="0" applyAlignment="1" applyBorder="1" applyFont="1">
      <alignment shrinkToFit="0" vertical="center" wrapText="1"/>
    </xf>
    <xf borderId="0" fillId="0" fontId="22" numFmtId="0" xfId="0" applyAlignment="1" applyFont="1">
      <alignment shrinkToFit="0" vertical="center" wrapText="1"/>
    </xf>
    <xf borderId="1" fillId="5" fontId="25" numFmtId="0" xfId="0" applyAlignment="1" applyBorder="1" applyFill="1" applyFont="1">
      <alignment shrinkToFit="0" vertical="top" wrapText="1"/>
    </xf>
    <xf borderId="1" fillId="5" fontId="25"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4</xdr:row>
      <xdr:rowOff>200025</xdr:rowOff>
    </xdr:from>
    <xdr:ext cx="11134725" cy="4524375"/>
    <xdr:sp>
      <xdr:nvSpPr>
        <xdr:cNvPr id="3" name="Shape 3"/>
        <xdr:cNvSpPr txBox="1"/>
      </xdr:nvSpPr>
      <xdr:spPr>
        <a:xfrm>
          <a:off x="748275" y="574525"/>
          <a:ext cx="4785600" cy="2198400"/>
        </a:xfrm>
        <a:prstGeom prst="rect">
          <a:avLst/>
        </a:prstGeom>
        <a:solidFill>
          <a:srgbClr val="EFEFE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N/A</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cbinsights.com/research/state-of" TargetMode="External"/><Relationship Id="rId22" Type="http://schemas.openxmlformats.org/officeDocument/2006/relationships/hyperlink" Target="https://www.statista.com/study/10653/e-commerce-worldwide-statista-dossier/" TargetMode="External"/><Relationship Id="rId21" Type="http://schemas.openxmlformats.org/officeDocument/2006/relationships/hyperlink" Target="https://www.cbinsights.com/research/report/digital-health-trends-q2-2026/" TargetMode="External"/><Relationship Id="rId24" Type="http://schemas.openxmlformats.org/officeDocument/2006/relationships/hyperlink" Target="https://www.statista.com/outlook/tmo/artificial-intelligence/worldwide" TargetMode="External"/><Relationship Id="rId23" Type="http://schemas.openxmlformats.org/officeDocument/2006/relationships/hyperlink" Target="https://www.statista.com/study/10653/e-commerce-worldwide-statista-dossier/" TargetMode="External"/><Relationship Id="rId1" Type="http://schemas.openxmlformats.org/officeDocument/2006/relationships/hyperlink" Target="https://www.gartner.com/en/documents/7387730" TargetMode="External"/><Relationship Id="rId2" Type="http://schemas.openxmlformats.org/officeDocument/2006/relationships/hyperlink" Target="https://saleshive.com/vendors/gartner" TargetMode="External"/><Relationship Id="rId3" Type="http://schemas.openxmlformats.org/officeDocument/2006/relationships/hyperlink" Target="https://www.gartner.com/en/articles/future-of-marketing" TargetMode="External"/><Relationship Id="rId4" Type="http://schemas.openxmlformats.org/officeDocument/2006/relationships/hyperlink" Target="https://saleshive.com/vendors/gartner" TargetMode="External"/><Relationship Id="rId9" Type="http://schemas.openxmlformats.org/officeDocument/2006/relationships/hyperlink" Target="https://lp.euromonitor.com/menswear-in-the-united-kingdom/report" TargetMode="External"/><Relationship Id="rId26" Type="http://schemas.openxmlformats.org/officeDocument/2006/relationships/hyperlink" Target="https://www.ibisworld.com/united-states/industry/healthcare-consulting/5496/" TargetMode="External"/><Relationship Id="rId25" Type="http://schemas.openxmlformats.org/officeDocument/2006/relationships/hyperlink" Target="https://www.ibisworld.com/united-states/industry/family-counseling-crisis-intervention-services/1608/" TargetMode="External"/><Relationship Id="rId28" Type="http://schemas.openxmlformats.org/officeDocument/2006/relationships/hyperlink" Target="https://nielseniq.com/global/en/insights/report/2025/consumer-outlook-guide-to-2026" TargetMode="External"/><Relationship Id="rId27" Type="http://schemas.openxmlformats.org/officeDocument/2006/relationships/hyperlink" Target="http://nielseniq.com/global/en/insights/report/2025/consumer-tech-industry-trends-2025/" TargetMode="External"/><Relationship Id="rId5" Type="http://schemas.openxmlformats.org/officeDocument/2006/relationships/hyperlink" Target="https://www.forrester.com/report/ai-adoption-across-regions-2025/RES188540?ref_search=0_1765213334770" TargetMode="External"/><Relationship Id="rId6" Type="http://schemas.openxmlformats.org/officeDocument/2006/relationships/hyperlink" Target="https://www.forrester.com/report/ai-adoption-across-regions-2025/RES188540?ref_search=0_1765213334770" TargetMode="External"/><Relationship Id="rId29" Type="http://schemas.openxmlformats.org/officeDocument/2006/relationships/hyperlink" Target="https://www.circana.com/post/2025-u-s-holiday-purchase-intentions-report" TargetMode="External"/><Relationship Id="rId7" Type="http://schemas.openxmlformats.org/officeDocument/2006/relationships/hyperlink" Target="https://www.forrester.com/report/align-ai-strategy-and-value-to-maximize-your-investments/RES184635?utm_source=chatgpt.com" TargetMode="External"/><Relationship Id="rId8" Type="http://schemas.openxmlformats.org/officeDocument/2006/relationships/hyperlink" Target="https://www.forrester.com/report/align-ai-strategy-and-value-to-maximize-your-investments/RES184635?utm_source=chatgpt.com" TargetMode="External"/><Relationship Id="rId31" Type="http://schemas.openxmlformats.org/officeDocument/2006/relationships/hyperlink" Target="https://www.grandviewresearch.com/industry-analysis/us-hotels-market-report" TargetMode="External"/><Relationship Id="rId30" Type="http://schemas.openxmlformats.org/officeDocument/2006/relationships/hyperlink" Target="https://www.circana.com/post/circana-report-highlights-the-role-of-personalization-in-supporting-glp-1-weight-loss-users" TargetMode="External"/><Relationship Id="rId11" Type="http://schemas.openxmlformats.org/officeDocument/2006/relationships/hyperlink" Target="https://www.euromonitor.com/computers-and-peripherals-in-portugal/report" TargetMode="External"/><Relationship Id="rId33" Type="http://schemas.openxmlformats.org/officeDocument/2006/relationships/hyperlink" Target="https://www.thebusinessresearchcompany.com/report/market-research-services-global-market-report?utm_source=chatgpt.com" TargetMode="External"/><Relationship Id="rId10" Type="http://schemas.openxmlformats.org/officeDocument/2006/relationships/hyperlink" Target="https://lp.euromonitor.com/menswear-in-the-united-kingdom/report" TargetMode="External"/><Relationship Id="rId32" Type="http://schemas.openxmlformats.org/officeDocument/2006/relationships/hyperlink" Target="https://www.grandviewresearch.com/industry-analysis/laptop-market" TargetMode="External"/><Relationship Id="rId13" Type="http://schemas.openxmlformats.org/officeDocument/2006/relationships/hyperlink" Target="https://store.mintel.com/report/us-retail-trends-market-report" TargetMode="External"/><Relationship Id="rId35" Type="http://schemas.openxmlformats.org/officeDocument/2006/relationships/hyperlink" Target="https://www.mordorintelligence.com/industry-reports/india-wellness-tourism-market" TargetMode="External"/><Relationship Id="rId12" Type="http://schemas.openxmlformats.org/officeDocument/2006/relationships/hyperlink" Target="https://www.euromonitor.com/computers-and-peripherals-in-portugal/report" TargetMode="External"/><Relationship Id="rId34" Type="http://schemas.openxmlformats.org/officeDocument/2006/relationships/hyperlink" Target="https://www.thebusinessresearchcompany.com/report/investment-research-platform-global-market-report?utm_source=chatgpt.com" TargetMode="External"/><Relationship Id="rId15" Type="http://schemas.openxmlformats.org/officeDocument/2006/relationships/hyperlink" Target="https://clients.mintel.com/download/brochure/2025-retail-trends-us-2025" TargetMode="External"/><Relationship Id="rId37" Type="http://schemas.openxmlformats.org/officeDocument/2006/relationships/drawing" Target="../drawings/drawing3.xml"/><Relationship Id="rId14" Type="http://schemas.openxmlformats.org/officeDocument/2006/relationships/hyperlink" Target="https://store.mintel.com/report/us-retail-trends-market-report" TargetMode="External"/><Relationship Id="rId36" Type="http://schemas.openxmlformats.org/officeDocument/2006/relationships/hyperlink" Target="https://www.mordorintelligence.com/industry-reports/luxury-hotel-market" TargetMode="External"/><Relationship Id="rId17" Type="http://schemas.openxmlformats.org/officeDocument/2006/relationships/hyperlink" Target="https://store.mintel.com/report/uk-digital-lives-of-consumers-market-report" TargetMode="External"/><Relationship Id="rId16" Type="http://schemas.openxmlformats.org/officeDocument/2006/relationships/hyperlink" Target="https://store.mintel.com/report/uk-digital-lives-of-consumers-market-report" TargetMode="External"/><Relationship Id="rId19" Type="http://schemas.openxmlformats.org/officeDocument/2006/relationships/hyperlink" Target="https://pitchbook.com/webinars/q2-2026-pitchbook-nvca-venture-monitor" TargetMode="External"/><Relationship Id="rId18" Type="http://schemas.openxmlformats.org/officeDocument/2006/relationships/hyperlink" Target="https://clients.mintel.com/download/brochure/digital-lives-of-consumers-uk-202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104.0"/>
    <col customWidth="1" min="3" max="26" width="8.71"/>
  </cols>
  <sheetData>
    <row r="2">
      <c r="B2" s="1" t="s">
        <v>0</v>
      </c>
    </row>
    <row r="3">
      <c r="B3" s="2" t="s">
        <v>1</v>
      </c>
    </row>
    <row r="6" ht="15.0" customHeight="1">
      <c r="B6" s="3" t="s">
        <v>2</v>
      </c>
    </row>
    <row r="7" ht="15.0" customHeight="1">
      <c r="B7" s="4" t="s">
        <v>3</v>
      </c>
    </row>
    <row r="8" ht="15.0" customHeight="1">
      <c r="B8" s="4" t="s">
        <v>4</v>
      </c>
    </row>
    <row r="10" ht="15.0" customHeight="1">
      <c r="B10" s="5" t="s">
        <v>5</v>
      </c>
    </row>
    <row r="11" ht="25.5" customHeight="1">
      <c r="B11" s="4" t="s">
        <v>7</v>
      </c>
    </row>
    <row r="12" ht="15.0" customHeight="1">
      <c r="B12" s="5" t="s">
        <v>9</v>
      </c>
    </row>
    <row r="13" ht="25.5" customHeight="1">
      <c r="B13" s="4" t="s">
        <v>11</v>
      </c>
    </row>
    <row r="14" ht="15.0" customHeight="1">
      <c r="B14" s="5" t="s">
        <v>12</v>
      </c>
    </row>
    <row r="15" ht="15.0" customHeight="1">
      <c r="B15" s="4" t="s">
        <v>14</v>
      </c>
    </row>
    <row r="16" ht="15.0" customHeight="1">
      <c r="B16" s="5" t="s">
        <v>16</v>
      </c>
    </row>
    <row r="17" ht="15.0" customHeight="1">
      <c r="B17" s="4" t="s">
        <v>18</v>
      </c>
    </row>
    <row r="19" ht="15.0" customHeight="1">
      <c r="B19" s="8" t="s">
        <v>19</v>
      </c>
    </row>
    <row r="20" ht="51.75" customHeight="1">
      <c r="B20" s="4" t="s">
        <v>21</v>
      </c>
    </row>
    <row r="21" ht="39.0" customHeight="1">
      <c r="B21" s="4" t="s">
        <v>22</v>
      </c>
    </row>
    <row r="22" ht="25.5" customHeight="1">
      <c r="B22" s="4" t="s">
        <v>26</v>
      </c>
    </row>
    <row r="23" ht="15.75" customHeight="1"/>
    <row r="24" ht="39.0" customHeight="1">
      <c r="B24" s="11" t="s">
        <v>33</v>
      </c>
    </row>
    <row r="25" ht="15.75" customHeight="1"/>
    <row r="26" ht="15.0" customHeight="1">
      <c r="B26" s="8" t="s">
        <v>50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0"/>
    <col customWidth="1" min="2" max="2" width="15.0"/>
    <col customWidth="1" min="3" max="3" width="16.0"/>
    <col customWidth="1" min="4" max="4" width="8.0"/>
    <col customWidth="1" min="5" max="6" width="14.0"/>
    <col customWidth="1" min="7" max="7" width="10.0"/>
    <col customWidth="1" min="8" max="8" width="20.0"/>
    <col customWidth="1" min="9" max="9" width="34.0"/>
    <col customWidth="1" min="10" max="10" width="20.0"/>
    <col customWidth="1" min="11" max="11" width="36.0"/>
    <col customWidth="1" min="12" max="26" width="8.71"/>
  </cols>
  <sheetData>
    <row r="1" ht="24.0" customHeight="1">
      <c r="A1" s="6" t="s">
        <v>8</v>
      </c>
    </row>
    <row r="2" ht="30.0" customHeight="1">
      <c r="A2" s="7" t="s">
        <v>15</v>
      </c>
    </row>
    <row r="4" ht="42.0" customHeight="1">
      <c r="A4" s="9" t="s">
        <v>24</v>
      </c>
      <c r="B4" s="9" t="s">
        <v>28</v>
      </c>
      <c r="C4" s="9" t="s">
        <v>31</v>
      </c>
      <c r="D4" s="9" t="s">
        <v>34</v>
      </c>
      <c r="E4" s="9" t="s">
        <v>38</v>
      </c>
      <c r="F4" s="9" t="s">
        <v>41</v>
      </c>
      <c r="G4" s="9" t="s">
        <v>45</v>
      </c>
      <c r="H4" s="9" t="s">
        <v>48</v>
      </c>
      <c r="I4" s="9" t="s">
        <v>51</v>
      </c>
      <c r="J4" s="9" t="s">
        <v>55</v>
      </c>
      <c r="K4" s="9" t="s">
        <v>58</v>
      </c>
    </row>
    <row r="5" ht="30.0" customHeight="1">
      <c r="A5" s="13" t="s">
        <v>65</v>
      </c>
      <c r="B5" s="15"/>
      <c r="C5" s="15"/>
      <c r="D5" s="15"/>
      <c r="E5" s="15"/>
      <c r="F5" s="15"/>
      <c r="G5" s="15"/>
      <c r="H5" s="15"/>
      <c r="I5" s="15"/>
      <c r="J5" s="15"/>
      <c r="K5" s="15"/>
    </row>
    <row r="6" ht="30.0" customHeight="1">
      <c r="A6" s="13" t="s">
        <v>74</v>
      </c>
      <c r="B6" s="15"/>
      <c r="C6" s="15"/>
      <c r="D6" s="15"/>
      <c r="E6" s="15"/>
      <c r="F6" s="15"/>
      <c r="G6" s="15"/>
      <c r="H6" s="15"/>
      <c r="I6" s="15"/>
      <c r="J6" s="15"/>
      <c r="K6" s="15"/>
    </row>
    <row r="7" ht="30.0" customHeight="1">
      <c r="A7" s="13" t="s">
        <v>76</v>
      </c>
      <c r="B7" s="15"/>
      <c r="C7" s="15"/>
      <c r="D7" s="15"/>
      <c r="E7" s="15"/>
      <c r="F7" s="15"/>
      <c r="G7" s="15"/>
      <c r="H7" s="15"/>
      <c r="I7" s="15"/>
      <c r="J7" s="15"/>
      <c r="K7" s="15"/>
    </row>
    <row r="8" ht="30.0" customHeight="1">
      <c r="A8" s="13" t="s">
        <v>81</v>
      </c>
      <c r="B8" s="15"/>
      <c r="C8" s="15"/>
      <c r="D8" s="15"/>
      <c r="E8" s="15"/>
      <c r="F8" s="15"/>
      <c r="G8" s="15"/>
      <c r="H8" s="15"/>
      <c r="I8" s="15"/>
      <c r="J8" s="15"/>
      <c r="K8" s="15"/>
    </row>
    <row r="9" ht="30.0" customHeight="1">
      <c r="A9" s="13" t="s">
        <v>82</v>
      </c>
      <c r="B9" s="15"/>
      <c r="C9" s="15"/>
      <c r="D9" s="15"/>
      <c r="E9" s="15"/>
      <c r="F9" s="15"/>
      <c r="G9" s="15"/>
      <c r="H9" s="15"/>
      <c r="I9" s="15"/>
      <c r="J9" s="15"/>
      <c r="K9" s="15"/>
    </row>
    <row r="10" ht="30.0" customHeight="1">
      <c r="A10" s="13" t="s">
        <v>84</v>
      </c>
      <c r="B10" s="15"/>
      <c r="C10" s="15"/>
      <c r="D10" s="15"/>
      <c r="E10" s="15"/>
      <c r="F10" s="15"/>
      <c r="G10" s="15"/>
      <c r="H10" s="15"/>
      <c r="I10" s="15"/>
      <c r="J10" s="15"/>
      <c r="K10" s="15"/>
    </row>
    <row r="11" ht="30.0" customHeight="1">
      <c r="A11" s="13" t="s">
        <v>85</v>
      </c>
      <c r="B11" s="15"/>
      <c r="C11" s="15"/>
      <c r="D11" s="15"/>
      <c r="E11" s="15"/>
      <c r="F11" s="15"/>
      <c r="G11" s="15"/>
      <c r="H11" s="15"/>
      <c r="I11" s="15"/>
      <c r="J11" s="15"/>
      <c r="K11" s="15"/>
    </row>
    <row r="12" ht="30.0" customHeight="1">
      <c r="A12" s="13" t="s">
        <v>86</v>
      </c>
      <c r="B12" s="15"/>
      <c r="C12" s="15"/>
      <c r="D12" s="15"/>
      <c r="E12" s="15"/>
      <c r="F12" s="15"/>
      <c r="G12" s="15"/>
      <c r="H12" s="15"/>
      <c r="I12" s="15"/>
      <c r="J12" s="15"/>
      <c r="K12" s="15"/>
    </row>
    <row r="13" ht="30.0" customHeight="1">
      <c r="A13" s="13" t="s">
        <v>87</v>
      </c>
      <c r="B13" s="15"/>
      <c r="C13" s="15"/>
      <c r="D13" s="15"/>
      <c r="E13" s="15"/>
      <c r="F13" s="15"/>
      <c r="G13" s="15"/>
      <c r="H13" s="15"/>
      <c r="I13" s="15"/>
      <c r="J13" s="15"/>
      <c r="K13" s="15"/>
    </row>
    <row r="14" ht="30.0" customHeight="1">
      <c r="A14" s="13" t="s">
        <v>88</v>
      </c>
      <c r="B14" s="15"/>
      <c r="C14" s="15"/>
      <c r="D14" s="15"/>
      <c r="E14" s="15"/>
      <c r="F14" s="15"/>
      <c r="G14" s="15"/>
      <c r="H14" s="15"/>
      <c r="I14" s="15"/>
      <c r="J14" s="15"/>
      <c r="K14" s="15"/>
    </row>
    <row r="15" ht="30.0" customHeight="1">
      <c r="A15" s="13" t="s">
        <v>89</v>
      </c>
      <c r="B15" s="15"/>
      <c r="C15" s="15"/>
      <c r="D15" s="15"/>
      <c r="E15" s="15"/>
      <c r="F15" s="15"/>
      <c r="G15" s="15"/>
      <c r="H15" s="15"/>
      <c r="I15" s="15"/>
      <c r="J15" s="15"/>
      <c r="K15" s="15"/>
    </row>
    <row r="16" ht="30.0" customHeight="1">
      <c r="A16" s="13" t="s">
        <v>91</v>
      </c>
      <c r="B16" s="15"/>
      <c r="C16" s="15"/>
      <c r="D16" s="15"/>
      <c r="E16" s="15"/>
      <c r="F16" s="15"/>
      <c r="G16" s="15"/>
      <c r="H16" s="15"/>
      <c r="I16" s="15"/>
      <c r="J16" s="15"/>
      <c r="K16" s="15"/>
    </row>
    <row r="17" ht="30.0" customHeight="1">
      <c r="A17" s="13" t="s">
        <v>94</v>
      </c>
      <c r="B17" s="15"/>
      <c r="C17" s="15"/>
      <c r="D17" s="15"/>
      <c r="E17" s="15"/>
      <c r="F17" s="15"/>
      <c r="G17" s="15"/>
      <c r="H17" s="15"/>
      <c r="I17" s="15"/>
      <c r="J17" s="15"/>
      <c r="K17" s="15"/>
    </row>
    <row r="18" ht="30.0" customHeight="1">
      <c r="A18" s="13"/>
      <c r="B18" s="15"/>
      <c r="C18" s="15"/>
      <c r="D18" s="15"/>
      <c r="E18" s="15"/>
      <c r="F18" s="15"/>
      <c r="G18" s="15"/>
      <c r="H18" s="15"/>
      <c r="I18" s="15"/>
      <c r="J18" s="15"/>
      <c r="K18" s="15"/>
    </row>
    <row r="19" ht="30.0" customHeight="1">
      <c r="A19" s="13"/>
      <c r="B19" s="15"/>
      <c r="C19" s="15"/>
      <c r="D19" s="15"/>
      <c r="E19" s="15"/>
      <c r="F19" s="15"/>
      <c r="G19" s="15"/>
      <c r="H19" s="15"/>
      <c r="I19" s="15"/>
      <c r="J19" s="15"/>
      <c r="K19" s="15"/>
    </row>
    <row r="20" ht="30.0" customHeight="1">
      <c r="A20" s="13"/>
      <c r="B20" s="15"/>
      <c r="C20" s="15"/>
      <c r="D20" s="15"/>
      <c r="E20" s="15"/>
      <c r="F20" s="15"/>
      <c r="G20" s="15"/>
      <c r="H20" s="15"/>
      <c r="I20" s="15"/>
      <c r="J20" s="15"/>
      <c r="K20" s="15"/>
    </row>
    <row r="21" ht="30.0" customHeight="1">
      <c r="A21" s="13"/>
      <c r="B21" s="15"/>
      <c r="C21" s="15"/>
      <c r="D21" s="15"/>
      <c r="E21" s="15"/>
      <c r="F21" s="15"/>
      <c r="G21" s="15"/>
      <c r="H21" s="15"/>
      <c r="I21" s="15"/>
      <c r="J21" s="15"/>
      <c r="K21" s="1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0.0"/>
    <col customWidth="1" min="2" max="2" width="34.0"/>
    <col customWidth="1" min="3" max="3" width="30.0"/>
    <col customWidth="1" min="4" max="4" width="13.0"/>
    <col customWidth="1" min="5" max="5" width="19.57"/>
    <col customWidth="1" min="6" max="6" width="12.57"/>
    <col customWidth="1" min="7" max="7" width="15.0"/>
    <col customWidth="1" min="8" max="8" width="27.0"/>
    <col customWidth="1" min="9" max="9" width="10.0"/>
    <col customWidth="1" min="10" max="10" width="44.0"/>
    <col customWidth="1" min="11" max="11" width="34.0"/>
    <col customWidth="1" min="12" max="12" width="15.0"/>
    <col customWidth="1" min="13" max="13" width="50.29"/>
    <col customWidth="1" min="14" max="14" width="39.0"/>
    <col customWidth="1" min="15" max="15" width="31.57"/>
    <col customWidth="1" min="16" max="16" width="39.43"/>
    <col customWidth="1" min="17" max="27" width="8.71"/>
  </cols>
  <sheetData>
    <row r="1" ht="24.0" customHeight="1">
      <c r="A1" s="6" t="s">
        <v>10</v>
      </c>
    </row>
    <row r="2" ht="30.0" customHeight="1">
      <c r="A2" s="7" t="s">
        <v>17</v>
      </c>
    </row>
    <row r="4" ht="51.75" customHeight="1">
      <c r="A4" s="10" t="s">
        <v>23</v>
      </c>
      <c r="B4" s="10" t="s">
        <v>36</v>
      </c>
      <c r="C4" s="10" t="s">
        <v>40</v>
      </c>
      <c r="D4" s="10" t="s">
        <v>43</v>
      </c>
      <c r="E4" s="10" t="s">
        <v>46</v>
      </c>
      <c r="F4" s="10" t="s">
        <v>49</v>
      </c>
      <c r="G4" s="10" t="s">
        <v>53</v>
      </c>
      <c r="H4" s="12" t="s">
        <v>61</v>
      </c>
      <c r="I4" s="10" t="s">
        <v>45</v>
      </c>
      <c r="J4" s="10" t="s">
        <v>67</v>
      </c>
      <c r="K4" s="10" t="s">
        <v>68</v>
      </c>
      <c r="L4" s="10" t="s">
        <v>69</v>
      </c>
      <c r="M4" s="10" t="s">
        <v>70</v>
      </c>
      <c r="N4" s="10" t="s">
        <v>71</v>
      </c>
      <c r="O4" s="10" t="s">
        <v>72</v>
      </c>
      <c r="P4" s="10" t="s">
        <v>58</v>
      </c>
    </row>
    <row r="5" ht="49.5" customHeight="1">
      <c r="A5" s="18" t="s">
        <v>65</v>
      </c>
      <c r="B5" s="20" t="s">
        <v>77</v>
      </c>
      <c r="C5" s="23" t="s">
        <v>80</v>
      </c>
      <c r="D5" s="25">
        <v>46259.0</v>
      </c>
      <c r="E5" s="25">
        <v>46055.0</v>
      </c>
      <c r="F5" s="26" t="s">
        <v>90</v>
      </c>
      <c r="G5" s="26">
        <v>200.0</v>
      </c>
      <c r="H5" s="27" t="s">
        <v>92</v>
      </c>
      <c r="I5" s="26" t="s">
        <v>98</v>
      </c>
      <c r="J5" s="20" t="s">
        <v>99</v>
      </c>
      <c r="K5" s="20" t="s">
        <v>100</v>
      </c>
      <c r="L5" s="20" t="s">
        <v>103</v>
      </c>
      <c r="M5" s="20" t="s">
        <v>104</v>
      </c>
      <c r="N5" s="26" t="s">
        <v>90</v>
      </c>
      <c r="O5" s="26" t="s">
        <v>90</v>
      </c>
      <c r="P5" s="20" t="s">
        <v>105</v>
      </c>
    </row>
    <row r="6" ht="44.25" customHeight="1">
      <c r="A6" s="28"/>
      <c r="B6" s="20" t="s">
        <v>106</v>
      </c>
      <c r="C6" s="23" t="s">
        <v>107</v>
      </c>
      <c r="D6" s="25">
        <v>46259.0</v>
      </c>
      <c r="E6" s="30">
        <v>45992.0</v>
      </c>
      <c r="F6" s="26" t="s">
        <v>90</v>
      </c>
      <c r="G6" s="26">
        <v>200.0</v>
      </c>
      <c r="H6" s="27" t="s">
        <v>92</v>
      </c>
      <c r="I6" s="26" t="s">
        <v>98</v>
      </c>
      <c r="J6" s="20" t="s">
        <v>110</v>
      </c>
      <c r="K6" s="20" t="s">
        <v>111</v>
      </c>
      <c r="L6" s="20" t="s">
        <v>103</v>
      </c>
      <c r="M6" s="20" t="s">
        <v>114</v>
      </c>
      <c r="N6" s="26" t="s">
        <v>90</v>
      </c>
      <c r="O6" s="26" t="s">
        <v>90</v>
      </c>
      <c r="P6" s="20" t="s">
        <v>116</v>
      </c>
    </row>
    <row r="7" ht="51.0" customHeight="1">
      <c r="A7" s="18" t="s">
        <v>74</v>
      </c>
      <c r="B7" s="20" t="s">
        <v>117</v>
      </c>
      <c r="C7" s="23" t="s">
        <v>119</v>
      </c>
      <c r="D7" s="25">
        <v>46259.0</v>
      </c>
      <c r="E7" s="25">
        <v>45964.0</v>
      </c>
      <c r="F7" s="26" t="s">
        <v>90</v>
      </c>
      <c r="G7" s="26">
        <v>1495.0</v>
      </c>
      <c r="H7" s="27" t="s">
        <v>119</v>
      </c>
      <c r="I7" s="26" t="s">
        <v>98</v>
      </c>
      <c r="J7" s="20" t="s">
        <v>132</v>
      </c>
      <c r="K7" s="20" t="s">
        <v>133</v>
      </c>
      <c r="L7" s="20" t="s">
        <v>103</v>
      </c>
      <c r="M7" s="20" t="s">
        <v>134</v>
      </c>
      <c r="N7" s="26" t="s">
        <v>90</v>
      </c>
      <c r="O7" s="26" t="s">
        <v>90</v>
      </c>
      <c r="P7" s="20" t="s">
        <v>136</v>
      </c>
    </row>
    <row r="8" ht="56.25" customHeight="1">
      <c r="A8" s="28"/>
      <c r="B8" s="20" t="s">
        <v>137</v>
      </c>
      <c r="C8" s="34" t="s">
        <v>138</v>
      </c>
      <c r="D8" s="25">
        <v>46259.0</v>
      </c>
      <c r="E8" s="25">
        <v>45840.0</v>
      </c>
      <c r="F8" s="26" t="s">
        <v>90</v>
      </c>
      <c r="G8" s="26">
        <v>1495.0</v>
      </c>
      <c r="H8" s="35" t="s">
        <v>138</v>
      </c>
      <c r="I8" s="26" t="s">
        <v>98</v>
      </c>
      <c r="J8" s="20" t="s">
        <v>155</v>
      </c>
      <c r="K8" s="20" t="s">
        <v>156</v>
      </c>
      <c r="L8" s="20" t="s">
        <v>103</v>
      </c>
      <c r="M8" s="20" t="s">
        <v>158</v>
      </c>
      <c r="N8" s="26" t="s">
        <v>90</v>
      </c>
      <c r="O8" s="26" t="s">
        <v>90</v>
      </c>
      <c r="P8" s="20" t="s">
        <v>161</v>
      </c>
    </row>
    <row r="9" ht="33.75" customHeight="1">
      <c r="A9" s="18" t="s">
        <v>76</v>
      </c>
      <c r="B9" s="20" t="s">
        <v>165</v>
      </c>
      <c r="C9" s="23" t="s">
        <v>166</v>
      </c>
      <c r="D9" s="25">
        <v>46259.0</v>
      </c>
      <c r="E9" s="30">
        <v>45992.0</v>
      </c>
      <c r="F9" s="26" t="s">
        <v>90</v>
      </c>
      <c r="G9" s="37">
        <v>1195.0</v>
      </c>
      <c r="H9" s="38" t="s">
        <v>166</v>
      </c>
      <c r="I9" s="26" t="s">
        <v>98</v>
      </c>
      <c r="J9" s="39" t="s">
        <v>169</v>
      </c>
      <c r="K9" s="39" t="s">
        <v>170</v>
      </c>
      <c r="L9" s="20" t="s">
        <v>103</v>
      </c>
      <c r="M9" s="39" t="s">
        <v>171</v>
      </c>
      <c r="N9" s="39" t="s">
        <v>172</v>
      </c>
      <c r="O9" s="26" t="s">
        <v>90</v>
      </c>
      <c r="P9" s="20" t="s">
        <v>173</v>
      </c>
    </row>
    <row r="10" ht="55.5" customHeight="1">
      <c r="A10" s="28"/>
      <c r="B10" s="20" t="s">
        <v>174</v>
      </c>
      <c r="C10" s="23" t="s">
        <v>175</v>
      </c>
      <c r="D10" s="25">
        <v>46259.0</v>
      </c>
      <c r="E10" s="30">
        <v>45870.0</v>
      </c>
      <c r="F10" s="26" t="s">
        <v>90</v>
      </c>
      <c r="G10" s="37">
        <v>1100.0</v>
      </c>
      <c r="H10" s="23" t="s">
        <v>175</v>
      </c>
      <c r="I10" s="26" t="s">
        <v>98</v>
      </c>
      <c r="J10" s="39" t="s">
        <v>176</v>
      </c>
      <c r="K10" s="39" t="s">
        <v>177</v>
      </c>
      <c r="L10" s="20" t="s">
        <v>103</v>
      </c>
      <c r="M10" s="39" t="s">
        <v>178</v>
      </c>
      <c r="N10" s="39" t="s">
        <v>179</v>
      </c>
      <c r="O10" s="26" t="s">
        <v>90</v>
      </c>
      <c r="P10" s="20" t="s">
        <v>180</v>
      </c>
    </row>
    <row r="11" ht="33.75" customHeight="1">
      <c r="A11" s="40" t="s">
        <v>81</v>
      </c>
      <c r="B11" s="20" t="s">
        <v>181</v>
      </c>
      <c r="C11" s="38" t="s">
        <v>182</v>
      </c>
      <c r="D11" s="25">
        <v>46259.0</v>
      </c>
      <c r="E11" s="26" t="s">
        <v>90</v>
      </c>
      <c r="F11" s="26" t="s">
        <v>90</v>
      </c>
      <c r="G11" s="37">
        <v>4995.0</v>
      </c>
      <c r="H11" s="38" t="s">
        <v>182</v>
      </c>
      <c r="I11" s="26" t="s">
        <v>98</v>
      </c>
      <c r="J11" s="39" t="s">
        <v>183</v>
      </c>
      <c r="K11" s="39" t="s">
        <v>184</v>
      </c>
      <c r="L11" s="20" t="s">
        <v>103</v>
      </c>
      <c r="M11" s="41" t="s">
        <v>185</v>
      </c>
      <c r="N11" s="39" t="s">
        <v>186</v>
      </c>
      <c r="O11" s="38" t="s">
        <v>187</v>
      </c>
      <c r="P11" s="20" t="s">
        <v>188</v>
      </c>
    </row>
    <row r="12" ht="33.75" customHeight="1">
      <c r="A12" s="28"/>
      <c r="B12" s="20" t="s">
        <v>189</v>
      </c>
      <c r="C12" s="38" t="s">
        <v>190</v>
      </c>
      <c r="D12" s="25">
        <v>46259.0</v>
      </c>
      <c r="E12" s="26" t="s">
        <v>90</v>
      </c>
      <c r="F12" s="26" t="s">
        <v>90</v>
      </c>
      <c r="G12" s="37">
        <v>2995.0</v>
      </c>
      <c r="H12" s="38" t="s">
        <v>190</v>
      </c>
      <c r="I12" s="26" t="s">
        <v>98</v>
      </c>
      <c r="J12" s="39" t="s">
        <v>191</v>
      </c>
      <c r="K12" s="39" t="s">
        <v>192</v>
      </c>
      <c r="L12" s="39" t="s">
        <v>103</v>
      </c>
      <c r="M12" s="39" t="s">
        <v>193</v>
      </c>
      <c r="N12" s="39" t="s">
        <v>186</v>
      </c>
      <c r="O12" s="38" t="s">
        <v>194</v>
      </c>
      <c r="P12" s="20" t="s">
        <v>195</v>
      </c>
    </row>
    <row r="13" ht="33.75" customHeight="1">
      <c r="A13" s="18" t="s">
        <v>82</v>
      </c>
      <c r="B13" s="42"/>
      <c r="C13" s="38" t="s">
        <v>196</v>
      </c>
      <c r="D13" s="25">
        <v>46259.0</v>
      </c>
      <c r="E13" s="42"/>
      <c r="F13" s="42"/>
      <c r="G13" s="42"/>
      <c r="H13" s="42"/>
      <c r="I13" s="42"/>
      <c r="J13" s="42"/>
      <c r="K13" s="42"/>
      <c r="L13" s="42"/>
      <c r="M13" s="42"/>
      <c r="N13" s="42"/>
      <c r="O13" s="42"/>
      <c r="P13" s="43" t="s">
        <v>197</v>
      </c>
    </row>
    <row r="14" ht="33.75" customHeight="1">
      <c r="A14" s="28"/>
      <c r="B14" s="42"/>
      <c r="C14" s="42"/>
      <c r="D14" s="25">
        <v>46259.0</v>
      </c>
      <c r="E14" s="42"/>
      <c r="F14" s="42"/>
      <c r="G14" s="42"/>
      <c r="H14" s="42"/>
      <c r="I14" s="42"/>
      <c r="J14" s="42"/>
      <c r="K14" s="42"/>
      <c r="L14" s="42"/>
      <c r="M14" s="42"/>
      <c r="N14" s="42"/>
      <c r="O14" s="42"/>
      <c r="P14" s="44"/>
    </row>
    <row r="15" ht="33.75" customHeight="1">
      <c r="A15" s="45" t="s">
        <v>84</v>
      </c>
      <c r="B15" s="42"/>
      <c r="C15" s="38" t="s">
        <v>198</v>
      </c>
      <c r="D15" s="25">
        <v>46259.0</v>
      </c>
      <c r="E15" s="42"/>
      <c r="F15" s="42"/>
      <c r="G15" s="42"/>
      <c r="H15" s="42"/>
      <c r="I15" s="42"/>
      <c r="J15" s="42"/>
      <c r="K15" s="42"/>
      <c r="L15" s="42"/>
      <c r="M15" s="42"/>
      <c r="N15" s="42"/>
      <c r="O15" s="42"/>
      <c r="P15" s="43" t="s">
        <v>199</v>
      </c>
    </row>
    <row r="16" ht="33.75" customHeight="1">
      <c r="A16" s="28"/>
      <c r="B16" s="42"/>
      <c r="C16" s="38" t="s">
        <v>200</v>
      </c>
      <c r="D16" s="25">
        <v>46259.0</v>
      </c>
      <c r="E16" s="42"/>
      <c r="F16" s="42"/>
      <c r="G16" s="42"/>
      <c r="H16" s="42"/>
      <c r="I16" s="42"/>
      <c r="J16" s="42"/>
      <c r="K16" s="42"/>
      <c r="L16" s="42"/>
      <c r="M16" s="42"/>
      <c r="N16" s="42"/>
      <c r="O16" s="42"/>
      <c r="P16" s="44"/>
    </row>
    <row r="17" ht="36.75" customHeight="1">
      <c r="A17" s="18" t="s">
        <v>85</v>
      </c>
      <c r="B17" s="20" t="s">
        <v>201</v>
      </c>
      <c r="C17" s="23" t="s">
        <v>202</v>
      </c>
      <c r="D17" s="25">
        <v>46259.0</v>
      </c>
      <c r="E17" s="20">
        <v>2025.0</v>
      </c>
      <c r="F17" s="26">
        <v>47.0</v>
      </c>
      <c r="G17" s="26">
        <v>495.0</v>
      </c>
      <c r="H17" s="23" t="s">
        <v>202</v>
      </c>
      <c r="I17" s="26" t="s">
        <v>98</v>
      </c>
      <c r="J17" s="20" t="s">
        <v>203</v>
      </c>
      <c r="K17" s="20" t="s">
        <v>204</v>
      </c>
      <c r="L17" s="20" t="s">
        <v>103</v>
      </c>
      <c r="M17" s="46" t="s">
        <v>205</v>
      </c>
      <c r="N17" s="26" t="s">
        <v>90</v>
      </c>
      <c r="O17" s="26" t="s">
        <v>90</v>
      </c>
      <c r="P17" s="20" t="s">
        <v>206</v>
      </c>
    </row>
    <row r="18" ht="35.25" customHeight="1">
      <c r="A18" s="28"/>
      <c r="B18" s="20" t="s">
        <v>207</v>
      </c>
      <c r="C18" s="23" t="s">
        <v>208</v>
      </c>
      <c r="D18" s="25">
        <v>46259.0</v>
      </c>
      <c r="E18" s="26" t="s">
        <v>90</v>
      </c>
      <c r="F18" s="26" t="s">
        <v>90</v>
      </c>
      <c r="G18" s="26" t="s">
        <v>90</v>
      </c>
      <c r="H18" s="47"/>
      <c r="I18" s="26" t="s">
        <v>98</v>
      </c>
      <c r="J18" s="20" t="s">
        <v>209</v>
      </c>
      <c r="K18" s="20" t="s">
        <v>210</v>
      </c>
      <c r="L18" s="20" t="s">
        <v>103</v>
      </c>
      <c r="M18" s="20" t="s">
        <v>211</v>
      </c>
      <c r="N18" s="26" t="s">
        <v>90</v>
      </c>
      <c r="O18" s="26" t="s">
        <v>90</v>
      </c>
      <c r="P18" s="20" t="s">
        <v>206</v>
      </c>
    </row>
    <row r="19" ht="42.0" customHeight="1">
      <c r="A19" s="48" t="s">
        <v>86</v>
      </c>
      <c r="B19" s="20" t="s">
        <v>212</v>
      </c>
      <c r="C19" s="38" t="s">
        <v>213</v>
      </c>
      <c r="D19" s="25">
        <v>46259.0</v>
      </c>
      <c r="E19" s="30">
        <v>46143.0</v>
      </c>
      <c r="F19" s="26" t="s">
        <v>90</v>
      </c>
      <c r="G19" s="26" t="s">
        <v>90</v>
      </c>
      <c r="H19" s="42"/>
      <c r="I19" s="26" t="s">
        <v>98</v>
      </c>
      <c r="J19" s="39" t="s">
        <v>214</v>
      </c>
      <c r="K19" s="39" t="s">
        <v>215</v>
      </c>
      <c r="L19" s="39" t="s">
        <v>103</v>
      </c>
      <c r="M19" s="20" t="s">
        <v>216</v>
      </c>
      <c r="N19" s="26" t="s">
        <v>90</v>
      </c>
      <c r="O19" s="26" t="s">
        <v>90</v>
      </c>
      <c r="P19" s="20" t="s">
        <v>217</v>
      </c>
    </row>
    <row r="20" ht="33.75" customHeight="1">
      <c r="A20" s="49"/>
      <c r="B20" s="20" t="s">
        <v>218</v>
      </c>
      <c r="C20" s="38" t="s">
        <v>219</v>
      </c>
      <c r="D20" s="25">
        <v>46259.0</v>
      </c>
      <c r="E20" s="30">
        <v>46174.0</v>
      </c>
      <c r="F20" s="26" t="s">
        <v>90</v>
      </c>
      <c r="G20" s="26" t="s">
        <v>90</v>
      </c>
      <c r="H20" s="42"/>
      <c r="I20" s="26" t="s">
        <v>98</v>
      </c>
      <c r="J20" s="39" t="s">
        <v>220</v>
      </c>
      <c r="K20" s="39" t="s">
        <v>221</v>
      </c>
      <c r="L20" s="39" t="s">
        <v>103</v>
      </c>
      <c r="M20" s="20" t="s">
        <v>222</v>
      </c>
      <c r="N20" s="26" t="s">
        <v>90</v>
      </c>
      <c r="O20" s="26" t="s">
        <v>90</v>
      </c>
      <c r="P20" s="20" t="s">
        <v>223</v>
      </c>
    </row>
    <row r="21" ht="33.75" customHeight="1">
      <c r="A21" s="40" t="s">
        <v>87</v>
      </c>
      <c r="B21" s="20" t="s">
        <v>224</v>
      </c>
      <c r="C21" s="38" t="s">
        <v>225</v>
      </c>
      <c r="D21" s="25">
        <v>46259.0</v>
      </c>
      <c r="E21" s="50">
        <v>45748.0</v>
      </c>
      <c r="F21" s="26" t="s">
        <v>90</v>
      </c>
      <c r="G21" s="26" t="s">
        <v>90</v>
      </c>
      <c r="H21" s="42"/>
      <c r="I21" s="26" t="s">
        <v>98</v>
      </c>
      <c r="J21" s="39" t="s">
        <v>226</v>
      </c>
      <c r="K21" s="39" t="s">
        <v>227</v>
      </c>
      <c r="L21" s="39" t="s">
        <v>103</v>
      </c>
      <c r="M21" s="20" t="s">
        <v>228</v>
      </c>
      <c r="N21" s="26" t="s">
        <v>90</v>
      </c>
      <c r="O21" s="26" t="s">
        <v>90</v>
      </c>
      <c r="P21" s="20" t="s">
        <v>229</v>
      </c>
    </row>
    <row r="22" ht="41.25" customHeight="1">
      <c r="A22" s="28"/>
      <c r="B22" s="20" t="s">
        <v>230</v>
      </c>
      <c r="C22" s="38" t="s">
        <v>231</v>
      </c>
      <c r="D22" s="25">
        <v>46259.0</v>
      </c>
      <c r="E22" s="51">
        <v>45929.0</v>
      </c>
      <c r="F22" s="26" t="s">
        <v>90</v>
      </c>
      <c r="G22" s="26" t="s">
        <v>90</v>
      </c>
      <c r="H22" s="42"/>
      <c r="I22" s="26" t="s">
        <v>98</v>
      </c>
      <c r="J22" s="39" t="s">
        <v>232</v>
      </c>
      <c r="K22" s="39" t="s">
        <v>233</v>
      </c>
      <c r="L22" s="39" t="s">
        <v>103</v>
      </c>
      <c r="M22" s="20" t="s">
        <v>234</v>
      </c>
      <c r="N22" s="26" t="s">
        <v>90</v>
      </c>
      <c r="O22" s="26" t="s">
        <v>90</v>
      </c>
      <c r="P22" s="20" t="s">
        <v>235</v>
      </c>
    </row>
    <row r="23" ht="38.25" customHeight="1">
      <c r="A23" s="18" t="s">
        <v>88</v>
      </c>
      <c r="B23" s="20" t="s">
        <v>236</v>
      </c>
      <c r="C23" s="38" t="s">
        <v>237</v>
      </c>
      <c r="D23" s="25">
        <v>46259.0</v>
      </c>
      <c r="E23" s="52">
        <v>45959.0</v>
      </c>
      <c r="F23" s="26" t="s">
        <v>90</v>
      </c>
      <c r="G23" s="26" t="s">
        <v>90</v>
      </c>
      <c r="H23" s="42"/>
      <c r="I23" s="26" t="s">
        <v>98</v>
      </c>
      <c r="J23" s="39" t="s">
        <v>238</v>
      </c>
      <c r="K23" s="39" t="s">
        <v>239</v>
      </c>
      <c r="L23" s="39" t="s">
        <v>103</v>
      </c>
      <c r="M23" s="20" t="s">
        <v>240</v>
      </c>
      <c r="N23" s="26" t="s">
        <v>90</v>
      </c>
      <c r="O23" s="26" t="s">
        <v>90</v>
      </c>
      <c r="P23" s="20" t="s">
        <v>241</v>
      </c>
    </row>
    <row r="24" ht="41.25" customHeight="1">
      <c r="A24" s="28"/>
      <c r="B24" s="39" t="s">
        <v>242</v>
      </c>
      <c r="C24" s="38" t="s">
        <v>243</v>
      </c>
      <c r="D24" s="25">
        <v>46259.0</v>
      </c>
      <c r="E24" s="52">
        <v>45663.0</v>
      </c>
      <c r="F24" s="26" t="s">
        <v>90</v>
      </c>
      <c r="G24" s="26" t="s">
        <v>90</v>
      </c>
      <c r="H24" s="42"/>
      <c r="I24" s="26" t="s">
        <v>98</v>
      </c>
      <c r="J24" s="39" t="s">
        <v>244</v>
      </c>
      <c r="K24" s="39" t="s">
        <v>245</v>
      </c>
      <c r="L24" s="39" t="s">
        <v>103</v>
      </c>
      <c r="M24" s="20" t="s">
        <v>246</v>
      </c>
      <c r="N24" s="26" t="s">
        <v>90</v>
      </c>
      <c r="O24" s="26" t="s">
        <v>90</v>
      </c>
      <c r="P24" s="20" t="s">
        <v>247</v>
      </c>
    </row>
    <row r="25" ht="43.5" customHeight="1">
      <c r="A25" s="18" t="s">
        <v>89</v>
      </c>
      <c r="B25" s="53" t="s">
        <v>248</v>
      </c>
      <c r="C25" s="54" t="s">
        <v>249</v>
      </c>
      <c r="D25" s="25">
        <v>46259.0</v>
      </c>
      <c r="E25" s="55">
        <v>45748.0</v>
      </c>
      <c r="F25" s="26">
        <v>110.0</v>
      </c>
      <c r="G25" s="26" t="s">
        <v>90</v>
      </c>
      <c r="H25" s="56"/>
      <c r="I25" s="26" t="s">
        <v>98</v>
      </c>
      <c r="J25" s="57" t="s">
        <v>250</v>
      </c>
      <c r="K25" s="57" t="s">
        <v>251</v>
      </c>
      <c r="L25" s="20" t="s">
        <v>103</v>
      </c>
      <c r="M25" s="53" t="s">
        <v>252</v>
      </c>
      <c r="N25" s="26" t="s">
        <v>90</v>
      </c>
      <c r="O25" s="26" t="s">
        <v>90</v>
      </c>
      <c r="P25" s="53" t="s">
        <v>253</v>
      </c>
    </row>
    <row r="26" ht="42.0" customHeight="1">
      <c r="A26" s="28"/>
      <c r="B26" s="57" t="s">
        <v>254</v>
      </c>
      <c r="C26" s="54" t="s">
        <v>255</v>
      </c>
      <c r="D26" s="25">
        <v>46259.0</v>
      </c>
      <c r="E26" s="55">
        <v>46174.0</v>
      </c>
      <c r="F26" s="53">
        <v>120.0</v>
      </c>
      <c r="G26" s="26" t="s">
        <v>90</v>
      </c>
      <c r="H26" s="56"/>
      <c r="I26" s="26" t="s">
        <v>98</v>
      </c>
      <c r="J26" s="57" t="s">
        <v>256</v>
      </c>
      <c r="K26" s="53" t="s">
        <v>257</v>
      </c>
      <c r="L26" s="20" t="s">
        <v>103</v>
      </c>
      <c r="M26" s="57" t="s">
        <v>258</v>
      </c>
      <c r="N26" s="26" t="s">
        <v>90</v>
      </c>
      <c r="O26" s="26" t="s">
        <v>90</v>
      </c>
      <c r="P26" s="57" t="s">
        <v>259</v>
      </c>
      <c r="Q26" s="58"/>
      <c r="R26" s="58"/>
      <c r="S26" s="58"/>
      <c r="T26" s="58"/>
      <c r="U26" s="58"/>
      <c r="V26" s="58"/>
      <c r="W26" s="58"/>
      <c r="X26" s="58"/>
      <c r="Y26" s="58"/>
      <c r="Z26" s="58"/>
      <c r="AA26" s="58"/>
    </row>
    <row r="27" ht="36.75" customHeight="1">
      <c r="A27" s="45" t="s">
        <v>91</v>
      </c>
      <c r="B27" s="53" t="s">
        <v>260</v>
      </c>
      <c r="C27" s="59" t="s">
        <v>261</v>
      </c>
      <c r="D27" s="25">
        <v>46259.0</v>
      </c>
      <c r="E27" s="55">
        <v>46204.0</v>
      </c>
      <c r="F27" s="53">
        <v>250.0</v>
      </c>
      <c r="G27" s="60">
        <v>4490.0</v>
      </c>
      <c r="H27" s="56"/>
      <c r="I27" s="26" t="s">
        <v>98</v>
      </c>
      <c r="J27" s="57" t="s">
        <v>262</v>
      </c>
      <c r="K27" s="53" t="s">
        <v>263</v>
      </c>
      <c r="L27" s="20" t="s">
        <v>103</v>
      </c>
      <c r="M27" s="53" t="s">
        <v>264</v>
      </c>
      <c r="N27" s="26" t="s">
        <v>90</v>
      </c>
      <c r="O27" s="26" t="s">
        <v>90</v>
      </c>
      <c r="P27" s="57" t="s">
        <v>265</v>
      </c>
      <c r="Q27" s="58"/>
      <c r="R27" s="58"/>
      <c r="S27" s="58"/>
      <c r="T27" s="58"/>
      <c r="U27" s="58"/>
      <c r="V27" s="58"/>
      <c r="W27" s="58"/>
      <c r="X27" s="58"/>
      <c r="Y27" s="58"/>
      <c r="Z27" s="58"/>
      <c r="AA27" s="58"/>
    </row>
    <row r="28" ht="39.0" customHeight="1">
      <c r="A28" s="28"/>
      <c r="B28" s="53" t="s">
        <v>266</v>
      </c>
      <c r="C28" s="59" t="s">
        <v>267</v>
      </c>
      <c r="D28" s="25">
        <v>46259.0</v>
      </c>
      <c r="E28" s="55">
        <v>46204.0</v>
      </c>
      <c r="F28" s="53">
        <v>250.0</v>
      </c>
      <c r="G28" s="60">
        <v>4490.0</v>
      </c>
      <c r="H28" s="56"/>
      <c r="I28" s="26" t="s">
        <v>98</v>
      </c>
      <c r="J28" s="57" t="s">
        <v>268</v>
      </c>
      <c r="K28" s="53" t="s">
        <v>269</v>
      </c>
      <c r="L28" s="20" t="s">
        <v>103</v>
      </c>
      <c r="M28" s="53" t="s">
        <v>270</v>
      </c>
      <c r="N28" s="26" t="s">
        <v>90</v>
      </c>
      <c r="O28" s="26" t="s">
        <v>90</v>
      </c>
      <c r="P28" s="56"/>
      <c r="Q28" s="58"/>
      <c r="R28" s="58"/>
      <c r="S28" s="58"/>
      <c r="T28" s="58"/>
      <c r="U28" s="58"/>
      <c r="V28" s="58"/>
      <c r="W28" s="58"/>
      <c r="X28" s="58"/>
      <c r="Y28" s="58"/>
      <c r="Z28" s="58"/>
      <c r="AA28" s="58"/>
    </row>
    <row r="29" ht="29.25" customHeight="1">
      <c r="A29" s="18" t="s">
        <v>94</v>
      </c>
      <c r="B29" s="57" t="s">
        <v>271</v>
      </c>
      <c r="C29" s="59" t="s">
        <v>272</v>
      </c>
      <c r="D29" s="25">
        <v>46259.0</v>
      </c>
      <c r="E29" s="61">
        <v>46241.0</v>
      </c>
      <c r="F29" s="26" t="s">
        <v>90</v>
      </c>
      <c r="G29" s="53">
        <v>4750.0</v>
      </c>
      <c r="H29" s="56"/>
      <c r="I29" s="26" t="s">
        <v>98</v>
      </c>
      <c r="J29" s="57" t="s">
        <v>273</v>
      </c>
      <c r="K29" s="53" t="s">
        <v>274</v>
      </c>
      <c r="L29" s="20" t="s">
        <v>103</v>
      </c>
      <c r="M29" s="57" t="s">
        <v>275</v>
      </c>
      <c r="N29" s="26" t="s">
        <v>90</v>
      </c>
      <c r="O29" s="26" t="s">
        <v>90</v>
      </c>
      <c r="P29" s="57" t="s">
        <v>276</v>
      </c>
      <c r="Q29" s="58"/>
      <c r="R29" s="58"/>
      <c r="S29" s="58"/>
      <c r="T29" s="58"/>
      <c r="U29" s="58"/>
      <c r="V29" s="58"/>
      <c r="W29" s="58"/>
      <c r="X29" s="58"/>
      <c r="Y29" s="58"/>
      <c r="Z29" s="58"/>
      <c r="AA29" s="58"/>
    </row>
    <row r="30" ht="36.75" customHeight="1">
      <c r="A30" s="28"/>
      <c r="B30" s="57" t="s">
        <v>277</v>
      </c>
      <c r="C30" s="54" t="s">
        <v>278</v>
      </c>
      <c r="D30" s="25">
        <v>46259.0</v>
      </c>
      <c r="E30" s="62">
        <v>46233.0</v>
      </c>
      <c r="F30" s="26" t="s">
        <v>90</v>
      </c>
      <c r="G30" s="57">
        <v>4750.0</v>
      </c>
      <c r="H30" s="63"/>
      <c r="I30" s="26" t="s">
        <v>98</v>
      </c>
      <c r="J30" s="57" t="s">
        <v>279</v>
      </c>
      <c r="K30" s="57" t="s">
        <v>280</v>
      </c>
      <c r="L30" s="20" t="s">
        <v>103</v>
      </c>
      <c r="M30" s="57" t="s">
        <v>281</v>
      </c>
      <c r="N30" s="26" t="s">
        <v>90</v>
      </c>
      <c r="O30" s="26" t="s">
        <v>90</v>
      </c>
      <c r="P30" s="57" t="s">
        <v>282</v>
      </c>
      <c r="Q30" s="64"/>
      <c r="R30" s="64"/>
      <c r="S30" s="64"/>
      <c r="T30" s="64"/>
      <c r="U30" s="64"/>
      <c r="V30" s="64"/>
      <c r="W30" s="64"/>
      <c r="X30" s="64"/>
      <c r="Y30" s="64"/>
      <c r="Z30" s="64"/>
      <c r="AA30" s="64"/>
    </row>
    <row r="31" ht="15.75" customHeight="1">
      <c r="A31" s="65" t="s">
        <v>94</v>
      </c>
      <c r="B31" s="65" t="s">
        <v>149</v>
      </c>
      <c r="C31" s="65" t="s">
        <v>151</v>
      </c>
      <c r="D31" s="65" t="s">
        <v>140</v>
      </c>
      <c r="E31" s="65" t="s">
        <v>150</v>
      </c>
      <c r="F31" s="65">
        <v>110.0</v>
      </c>
      <c r="G31" s="65">
        <v>4750.0</v>
      </c>
      <c r="H31" s="65"/>
      <c r="I31" s="65" t="s">
        <v>98</v>
      </c>
      <c r="J31" s="65" t="s">
        <v>283</v>
      </c>
      <c r="K31" s="65" t="s">
        <v>284</v>
      </c>
      <c r="L31" s="65" t="s">
        <v>285</v>
      </c>
      <c r="M31" s="65" t="s">
        <v>286</v>
      </c>
      <c r="N31" s="65"/>
      <c r="O31" s="65"/>
      <c r="P31" s="66" t="s">
        <v>287</v>
      </c>
    </row>
    <row r="32" ht="15.75" customHeight="1">
      <c r="P32" s="58"/>
    </row>
    <row r="33" ht="15.75" customHeight="1">
      <c r="P33" s="58"/>
    </row>
    <row r="34" ht="15.75" customHeight="1">
      <c r="P34" s="58"/>
    </row>
    <row r="35" ht="15.75" customHeight="1">
      <c r="P35" s="58"/>
    </row>
    <row r="36" ht="15.75" customHeight="1">
      <c r="P36" s="58"/>
    </row>
    <row r="37" ht="15.75" customHeight="1">
      <c r="P37" s="58"/>
    </row>
    <row r="38" ht="15.75" customHeight="1">
      <c r="P38" s="5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7:A18"/>
    <mergeCell ref="A19:A20"/>
    <mergeCell ref="A21:A22"/>
    <mergeCell ref="A23:A24"/>
    <mergeCell ref="A25:A26"/>
    <mergeCell ref="A27:A28"/>
    <mergeCell ref="A29:A30"/>
    <mergeCell ref="P13:P14"/>
    <mergeCell ref="P15:P16"/>
    <mergeCell ref="A2:I2"/>
    <mergeCell ref="A5:A6"/>
    <mergeCell ref="A7:A8"/>
    <mergeCell ref="A9:A10"/>
    <mergeCell ref="A11:A12"/>
    <mergeCell ref="A13:A14"/>
    <mergeCell ref="A15:A16"/>
  </mergeCells>
  <dataValidations>
    <dataValidation type="list" allowBlank="1" sqref="L5:L30">
      <formula1>"Yes,Partly,No"</formula1>
    </dataValidation>
  </dataValidations>
  <hyperlinks>
    <hyperlink r:id="rId1" ref="C5"/>
    <hyperlink r:id="rId2" location="pricing" ref="H5"/>
    <hyperlink r:id="rId3" ref="C6"/>
    <hyperlink r:id="rId4" location="pricing" ref="H6"/>
    <hyperlink r:id="rId5" ref="C7"/>
    <hyperlink r:id="rId6" ref="H7"/>
    <hyperlink r:id="rId7" ref="C8"/>
    <hyperlink r:id="rId8" ref="H8"/>
    <hyperlink r:id="rId9" ref="C9"/>
    <hyperlink r:id="rId10" ref="H9"/>
    <hyperlink r:id="rId11" ref="C10"/>
    <hyperlink r:id="rId12" ref="H10"/>
    <hyperlink r:id="rId13" ref="C11"/>
    <hyperlink r:id="rId14" ref="H11"/>
    <hyperlink r:id="rId15" ref="O11"/>
    <hyperlink r:id="rId16" ref="C12"/>
    <hyperlink r:id="rId17" ref="H12"/>
    <hyperlink r:id="rId18" ref="O12"/>
    <hyperlink r:id="rId19" ref="C13"/>
    <hyperlink r:id="rId20" ref="C15"/>
    <hyperlink r:id="rId21" ref="C16"/>
    <hyperlink r:id="rId22" ref="C17"/>
    <hyperlink r:id="rId23" ref="H17"/>
    <hyperlink r:id="rId24" ref="C18"/>
    <hyperlink r:id="rId25" ref="C19"/>
    <hyperlink r:id="rId26" ref="C20"/>
    <hyperlink r:id="rId27" ref="C21"/>
    <hyperlink r:id="rId28" ref="C22"/>
    <hyperlink r:id="rId29" ref="C23"/>
    <hyperlink r:id="rId30" ref="C24"/>
    <hyperlink r:id="rId31" ref="C25"/>
    <hyperlink r:id="rId32" ref="C26"/>
    <hyperlink r:id="rId33" ref="C27"/>
    <hyperlink r:id="rId34" ref="C28"/>
    <hyperlink r:id="rId35" ref="C29"/>
    <hyperlink r:id="rId36" ref="C30"/>
  </hyperlinks>
  <printOptions/>
  <pageMargins bottom="1.0" footer="0.0" header="0.0" left="0.75" right="0.75" top="1.0"/>
  <pageSetup orientation="landscape"/>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8.0"/>
    <col customWidth="1" min="2" max="2" width="22.0"/>
    <col customWidth="1" min="3" max="3" width="42.0"/>
    <col customWidth="1" min="4" max="4" width="16.0"/>
    <col customWidth="1" min="5" max="5" width="24.0"/>
    <col customWidth="1" min="6" max="6" width="15.0"/>
    <col customWidth="1" min="7" max="7" width="14.0"/>
    <col customWidth="1" min="8" max="8" width="20.0"/>
    <col customWidth="1" min="9" max="9" width="15.0"/>
    <col customWidth="1" min="10" max="11" width="12.0"/>
    <col customWidth="1" min="12" max="13" width="14.0"/>
    <col customWidth="1" min="14" max="14" width="10.0"/>
    <col customWidth="1" min="15" max="15" width="8.0"/>
    <col customWidth="1" min="16" max="16" width="12.0"/>
    <col customWidth="1" min="17" max="17" width="24.0"/>
    <col customWidth="1" min="18" max="18" width="13.0"/>
    <col customWidth="1" min="19" max="19" width="12.0"/>
    <col customWidth="1" min="20" max="20" width="18.0"/>
    <col customWidth="1" min="21" max="21" width="24.0"/>
    <col customWidth="1" min="22" max="22" width="14.0"/>
    <col customWidth="1" min="23" max="24" width="40.0"/>
    <col customWidth="1" min="25" max="25" width="13.0"/>
    <col customWidth="1" min="26" max="26" width="30.0"/>
  </cols>
  <sheetData>
    <row r="1" ht="24.0" customHeight="1">
      <c r="A1" s="6" t="s">
        <v>6</v>
      </c>
    </row>
    <row r="2" ht="30.0" customHeight="1">
      <c r="A2" s="7" t="s">
        <v>13</v>
      </c>
    </row>
    <row r="4" ht="51.75" customHeight="1">
      <c r="A4" s="9" t="s">
        <v>20</v>
      </c>
      <c r="B4" s="9" t="s">
        <v>23</v>
      </c>
      <c r="C4" s="9" t="s">
        <v>25</v>
      </c>
      <c r="D4" s="9" t="s">
        <v>27</v>
      </c>
      <c r="E4" s="9" t="s">
        <v>29</v>
      </c>
      <c r="F4" s="9" t="s">
        <v>30</v>
      </c>
      <c r="G4" s="9" t="s">
        <v>32</v>
      </c>
      <c r="H4" s="9" t="s">
        <v>35</v>
      </c>
      <c r="I4" s="9" t="s">
        <v>37</v>
      </c>
      <c r="J4" s="9" t="s">
        <v>39</v>
      </c>
      <c r="K4" s="9" t="s">
        <v>42</v>
      </c>
      <c r="L4" s="9" t="s">
        <v>44</v>
      </c>
      <c r="M4" s="9" t="s">
        <v>47</v>
      </c>
      <c r="N4" s="9" t="s">
        <v>45</v>
      </c>
      <c r="O4" s="9" t="s">
        <v>34</v>
      </c>
      <c r="P4" s="9" t="s">
        <v>52</v>
      </c>
      <c r="Q4" s="9" t="s">
        <v>54</v>
      </c>
      <c r="R4" s="9" t="s">
        <v>56</v>
      </c>
      <c r="S4" s="9" t="s">
        <v>57</v>
      </c>
      <c r="T4" s="9" t="s">
        <v>59</v>
      </c>
      <c r="U4" s="9" t="s">
        <v>60</v>
      </c>
      <c r="V4" s="9" t="s">
        <v>62</v>
      </c>
      <c r="W4" s="9" t="s">
        <v>63</v>
      </c>
      <c r="X4" s="9" t="s">
        <v>64</v>
      </c>
      <c r="Y4" s="9" t="s">
        <v>66</v>
      </c>
      <c r="Z4" s="9" t="s">
        <v>58</v>
      </c>
    </row>
    <row r="5" ht="43.5" customHeight="1">
      <c r="A5" s="14">
        <v>1.0</v>
      </c>
      <c r="B5" s="16" t="s">
        <v>65</v>
      </c>
      <c r="C5" s="17" t="s">
        <v>73</v>
      </c>
      <c r="D5" s="19" t="s">
        <v>75</v>
      </c>
      <c r="E5" s="19" t="s">
        <v>78</v>
      </c>
      <c r="F5" s="21" t="s">
        <v>79</v>
      </c>
      <c r="G5" s="19" t="s">
        <v>83</v>
      </c>
      <c r="H5" s="15"/>
      <c r="I5" s="22"/>
      <c r="J5" s="24" t="str">
        <f t="shared" ref="J5:J13" si="1">IF(OR($F5="",$I5=""),"",$I5-$F5)</f>
        <v/>
      </c>
      <c r="K5" s="15"/>
      <c r="L5" s="15"/>
      <c r="M5" s="15"/>
      <c r="N5" s="15"/>
      <c r="O5" s="15"/>
      <c r="P5" s="15"/>
      <c r="Q5" s="15"/>
      <c r="R5" s="15"/>
      <c r="S5" s="15"/>
      <c r="T5" s="15"/>
      <c r="U5" s="15"/>
      <c r="V5" s="15"/>
      <c r="W5" s="15"/>
      <c r="X5" s="15"/>
      <c r="Y5" s="15"/>
      <c r="Z5" s="19" t="s">
        <v>93</v>
      </c>
    </row>
    <row r="6" ht="43.5" customHeight="1">
      <c r="A6" s="14">
        <v>2.0</v>
      </c>
      <c r="B6" s="16" t="s">
        <v>74</v>
      </c>
      <c r="C6" s="17" t="s">
        <v>95</v>
      </c>
      <c r="D6" s="19" t="s">
        <v>75</v>
      </c>
      <c r="E6" s="19" t="s">
        <v>78</v>
      </c>
      <c r="F6" s="21" t="s">
        <v>79</v>
      </c>
      <c r="G6" s="19" t="s">
        <v>83</v>
      </c>
      <c r="H6" s="15"/>
      <c r="I6" s="22"/>
      <c r="J6" s="24" t="str">
        <f t="shared" si="1"/>
        <v/>
      </c>
      <c r="K6" s="15"/>
      <c r="L6" s="15"/>
      <c r="M6" s="15"/>
      <c r="N6" s="15"/>
      <c r="O6" s="15"/>
      <c r="P6" s="15"/>
      <c r="Q6" s="15"/>
      <c r="R6" s="15"/>
      <c r="S6" s="15"/>
      <c r="T6" s="15"/>
      <c r="U6" s="15"/>
      <c r="V6" s="15"/>
      <c r="W6" s="15"/>
      <c r="X6" s="15"/>
      <c r="Y6" s="15"/>
      <c r="Z6" s="19" t="s">
        <v>96</v>
      </c>
    </row>
    <row r="7" ht="43.5" customHeight="1">
      <c r="A7" s="14">
        <v>3.0</v>
      </c>
      <c r="B7" s="16" t="s">
        <v>82</v>
      </c>
      <c r="C7" s="17" t="s">
        <v>97</v>
      </c>
      <c r="D7" s="19" t="s">
        <v>75</v>
      </c>
      <c r="E7" s="19" t="s">
        <v>78</v>
      </c>
      <c r="F7" s="21" t="s">
        <v>79</v>
      </c>
      <c r="G7" s="19" t="s">
        <v>83</v>
      </c>
      <c r="H7" s="15"/>
      <c r="I7" s="22"/>
      <c r="J7" s="24" t="str">
        <f t="shared" si="1"/>
        <v/>
      </c>
      <c r="K7" s="15"/>
      <c r="L7" s="15"/>
      <c r="M7" s="15"/>
      <c r="N7" s="15"/>
      <c r="O7" s="15"/>
      <c r="P7" s="15"/>
      <c r="Q7" s="15"/>
      <c r="R7" s="15"/>
      <c r="S7" s="15"/>
      <c r="T7" s="15"/>
      <c r="U7" s="15"/>
      <c r="V7" s="15"/>
      <c r="W7" s="15"/>
      <c r="X7" s="15"/>
      <c r="Y7" s="15"/>
      <c r="Z7" s="19" t="s">
        <v>101</v>
      </c>
    </row>
    <row r="8" ht="43.5" customHeight="1">
      <c r="A8" s="14">
        <v>4.0</v>
      </c>
      <c r="B8" s="16" t="s">
        <v>76</v>
      </c>
      <c r="C8" s="17" t="s">
        <v>102</v>
      </c>
      <c r="D8" s="19" t="s">
        <v>75</v>
      </c>
      <c r="E8" s="19" t="s">
        <v>78</v>
      </c>
      <c r="F8" s="21" t="s">
        <v>79</v>
      </c>
      <c r="G8" s="19" t="s">
        <v>83</v>
      </c>
      <c r="H8" s="15"/>
      <c r="I8" s="22"/>
      <c r="J8" s="24" t="str">
        <f t="shared" si="1"/>
        <v/>
      </c>
      <c r="K8" s="15"/>
      <c r="L8" s="15"/>
      <c r="M8" s="15"/>
      <c r="N8" s="15"/>
      <c r="O8" s="15"/>
      <c r="P8" s="15"/>
      <c r="Q8" s="15"/>
      <c r="R8" s="15"/>
      <c r="S8" s="15"/>
      <c r="T8" s="15"/>
      <c r="U8" s="15"/>
      <c r="V8" s="15"/>
      <c r="W8" s="15"/>
      <c r="X8" s="15"/>
      <c r="Y8" s="15"/>
      <c r="Z8" s="19" t="s">
        <v>108</v>
      </c>
    </row>
    <row r="9" ht="43.5" customHeight="1">
      <c r="A9" s="29">
        <v>5.0</v>
      </c>
      <c r="B9" s="16" t="s">
        <v>81</v>
      </c>
      <c r="C9" s="17" t="s">
        <v>109</v>
      </c>
      <c r="D9" s="19" t="s">
        <v>75</v>
      </c>
      <c r="E9" s="19" t="s">
        <v>78</v>
      </c>
      <c r="F9" s="21" t="s">
        <v>79</v>
      </c>
      <c r="G9" s="19" t="s">
        <v>83</v>
      </c>
      <c r="H9" s="15"/>
      <c r="I9" s="22"/>
      <c r="J9" s="24" t="str">
        <f t="shared" si="1"/>
        <v/>
      </c>
      <c r="K9" s="15"/>
      <c r="L9" s="15"/>
      <c r="M9" s="15"/>
      <c r="N9" s="15"/>
      <c r="O9" s="15"/>
      <c r="P9" s="15"/>
      <c r="Q9" s="15"/>
      <c r="R9" s="15"/>
      <c r="S9" s="15"/>
      <c r="T9" s="15"/>
      <c r="U9" s="15"/>
      <c r="V9" s="15"/>
      <c r="W9" s="15"/>
      <c r="X9" s="15"/>
      <c r="Y9" s="15"/>
      <c r="Z9" s="19" t="s">
        <v>112</v>
      </c>
    </row>
    <row r="10" ht="43.5" customHeight="1">
      <c r="A10" s="29">
        <v>6.0</v>
      </c>
      <c r="B10" s="16" t="s">
        <v>113</v>
      </c>
      <c r="C10" s="17" t="s">
        <v>115</v>
      </c>
      <c r="D10" s="19" t="s">
        <v>75</v>
      </c>
      <c r="E10" s="19" t="s">
        <v>78</v>
      </c>
      <c r="F10" s="21" t="s">
        <v>79</v>
      </c>
      <c r="G10" s="19" t="s">
        <v>83</v>
      </c>
      <c r="H10" s="15"/>
      <c r="I10" s="22"/>
      <c r="J10" s="24" t="str">
        <f t="shared" si="1"/>
        <v/>
      </c>
      <c r="K10" s="15"/>
      <c r="L10" s="19"/>
      <c r="M10" s="15"/>
      <c r="N10" s="15"/>
      <c r="O10" s="15"/>
      <c r="P10" s="15"/>
      <c r="Q10" s="15"/>
      <c r="R10" s="15"/>
      <c r="S10" s="15"/>
      <c r="T10" s="15"/>
      <c r="U10" s="15"/>
      <c r="V10" s="15"/>
      <c r="W10" s="15"/>
      <c r="X10" s="15"/>
      <c r="Y10" s="15"/>
      <c r="Z10" s="19" t="s">
        <v>118</v>
      </c>
    </row>
    <row r="11" ht="43.5" customHeight="1">
      <c r="A11" s="29">
        <v>7.0</v>
      </c>
      <c r="B11" s="16" t="s">
        <v>89</v>
      </c>
      <c r="C11" s="17" t="s">
        <v>120</v>
      </c>
      <c r="D11" s="19" t="s">
        <v>75</v>
      </c>
      <c r="E11" s="19" t="s">
        <v>78</v>
      </c>
      <c r="F11" s="21" t="s">
        <v>79</v>
      </c>
      <c r="G11" s="19" t="s">
        <v>83</v>
      </c>
      <c r="H11" s="15"/>
      <c r="I11" s="22"/>
      <c r="J11" s="24" t="str">
        <f t="shared" si="1"/>
        <v/>
      </c>
      <c r="K11" s="15"/>
      <c r="L11" s="15"/>
      <c r="M11" s="15"/>
      <c r="N11" s="15"/>
      <c r="O11" s="15"/>
      <c r="P11" s="15"/>
      <c r="Q11" s="15"/>
      <c r="R11" s="15"/>
      <c r="S11" s="15"/>
      <c r="T11" s="15"/>
      <c r="U11" s="15"/>
      <c r="V11" s="15"/>
      <c r="W11" s="15"/>
      <c r="X11" s="15"/>
      <c r="Y11" s="15"/>
      <c r="Z11" s="15"/>
    </row>
    <row r="12" ht="43.5" customHeight="1">
      <c r="A12" s="29">
        <v>8.0</v>
      </c>
      <c r="B12" s="16" t="s">
        <v>84</v>
      </c>
      <c r="C12" s="17" t="s">
        <v>121</v>
      </c>
      <c r="D12" s="19" t="s">
        <v>75</v>
      </c>
      <c r="E12" s="19" t="s">
        <v>78</v>
      </c>
      <c r="F12" s="21" t="s">
        <v>79</v>
      </c>
      <c r="G12" s="19" t="s">
        <v>83</v>
      </c>
      <c r="H12" s="15"/>
      <c r="I12" s="22"/>
      <c r="J12" s="24" t="str">
        <f t="shared" si="1"/>
        <v/>
      </c>
      <c r="K12" s="15"/>
      <c r="L12" s="15"/>
      <c r="M12" s="15"/>
      <c r="N12" s="15"/>
      <c r="O12" s="15"/>
      <c r="P12" s="15"/>
      <c r="Q12" s="15"/>
      <c r="R12" s="15"/>
      <c r="S12" s="15"/>
      <c r="T12" s="15"/>
      <c r="U12" s="15"/>
      <c r="V12" s="15"/>
      <c r="W12" s="15"/>
      <c r="X12" s="15"/>
      <c r="Y12" s="15"/>
      <c r="Z12" s="15"/>
    </row>
    <row r="13" ht="43.5" customHeight="1">
      <c r="A13" s="29">
        <v>9.0</v>
      </c>
      <c r="B13" s="16" t="s">
        <v>122</v>
      </c>
      <c r="C13" s="17" t="s">
        <v>123</v>
      </c>
      <c r="D13" s="19" t="s">
        <v>75</v>
      </c>
      <c r="E13" s="19" t="s">
        <v>78</v>
      </c>
      <c r="F13" s="21" t="s">
        <v>79</v>
      </c>
      <c r="G13" s="19" t="s">
        <v>83</v>
      </c>
      <c r="H13" s="15"/>
      <c r="I13" s="22"/>
      <c r="J13" s="24" t="str">
        <f t="shared" si="1"/>
        <v/>
      </c>
      <c r="K13" s="15"/>
      <c r="L13" s="15"/>
      <c r="M13" s="15"/>
      <c r="N13" s="15"/>
      <c r="O13" s="15"/>
      <c r="P13" s="15"/>
      <c r="Q13" s="15"/>
      <c r="R13" s="15"/>
      <c r="S13" s="15"/>
      <c r="T13" s="15"/>
      <c r="U13" s="15"/>
      <c r="V13" s="15"/>
      <c r="W13" s="15"/>
      <c r="X13" s="15"/>
      <c r="Y13" s="15"/>
      <c r="Z13" s="19" t="s">
        <v>126</v>
      </c>
    </row>
    <row r="15" ht="57.75" customHeight="1">
      <c r="B15" s="31" t="s">
        <v>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
    <mergeCell ref="B15:H15"/>
  </mergeCells>
  <dataValidations>
    <dataValidation type="list" allowBlank="1" sqref="G5:G13">
      <formula1>"Web form,Email,Phone,Call booked"</formula1>
    </dataValidation>
    <dataValidation type="list" allowBlank="1" sqref="V5:V13">
      <formula1>"Yes,No,Not stated"</formula1>
    </dataValidation>
    <dataValidation type="list" allowBlank="1" sqref="H5:H13">
      <formula1>"Yes — in writing,Yes — verbal only,Only on a call,No,Never replied"</formula1>
    </dataValidation>
    <dataValidation type="list" allowBlank="1" sqref="L5:L13 Y5:Y13">
      <formula1>"Yes,No"</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36.0"/>
    <col customWidth="1" min="3" max="3" width="12.0"/>
    <col customWidth="1" min="4" max="4" width="10.0"/>
    <col customWidth="1" min="5" max="5" width="8.0"/>
    <col customWidth="1" min="6" max="6" width="12.0"/>
    <col customWidth="1" min="7" max="7" width="44.0"/>
    <col customWidth="1" min="8" max="8" width="12.0"/>
    <col customWidth="1" min="9" max="26" width="8.71"/>
  </cols>
  <sheetData>
    <row r="1" ht="24.0" customHeight="1">
      <c r="A1" s="6" t="s">
        <v>124</v>
      </c>
    </row>
    <row r="2" ht="30.0" customHeight="1">
      <c r="A2" s="7" t="s">
        <v>125</v>
      </c>
    </row>
    <row r="4" ht="42.0" customHeight="1">
      <c r="A4" s="9" t="s">
        <v>23</v>
      </c>
      <c r="B4" s="9" t="s">
        <v>127</v>
      </c>
      <c r="C4" s="9" t="s">
        <v>128</v>
      </c>
      <c r="D4" s="9" t="s">
        <v>45</v>
      </c>
      <c r="E4" s="9" t="s">
        <v>49</v>
      </c>
      <c r="F4" s="9" t="s">
        <v>46</v>
      </c>
      <c r="G4" s="9" t="s">
        <v>130</v>
      </c>
      <c r="H4" s="9" t="s">
        <v>131</v>
      </c>
    </row>
    <row r="5">
      <c r="A5" s="32" t="s">
        <v>86</v>
      </c>
      <c r="B5" s="32" t="s">
        <v>135</v>
      </c>
      <c r="C5" s="33">
        <v>2850.0</v>
      </c>
      <c r="D5" s="32" t="s">
        <v>98</v>
      </c>
      <c r="E5" s="32"/>
      <c r="F5" s="32"/>
      <c r="G5" s="32" t="s">
        <v>139</v>
      </c>
      <c r="H5" s="32" t="s">
        <v>140</v>
      </c>
    </row>
    <row r="6">
      <c r="A6" s="32" t="s">
        <v>86</v>
      </c>
      <c r="B6" s="32" t="s">
        <v>141</v>
      </c>
      <c r="C6" s="33">
        <v>800.0</v>
      </c>
      <c r="D6" s="32" t="s">
        <v>98</v>
      </c>
      <c r="E6" s="32" t="s">
        <v>142</v>
      </c>
      <c r="F6" s="32"/>
      <c r="G6" s="32" t="s">
        <v>139</v>
      </c>
      <c r="H6" s="32" t="s">
        <v>140</v>
      </c>
    </row>
    <row r="7">
      <c r="A7" s="32" t="s">
        <v>91</v>
      </c>
      <c r="B7" s="32" t="s">
        <v>143</v>
      </c>
      <c r="C7" s="33">
        <v>4490.0</v>
      </c>
      <c r="D7" s="32" t="s">
        <v>98</v>
      </c>
      <c r="E7" s="32">
        <v>250.0</v>
      </c>
      <c r="F7" s="32" t="s">
        <v>144</v>
      </c>
      <c r="G7" s="32" t="s">
        <v>145</v>
      </c>
      <c r="H7" s="32" t="s">
        <v>140</v>
      </c>
    </row>
    <row r="8">
      <c r="A8" s="32" t="s">
        <v>91</v>
      </c>
      <c r="B8" s="32" t="s">
        <v>146</v>
      </c>
      <c r="C8" s="33">
        <v>4490.0</v>
      </c>
      <c r="D8" s="32" t="s">
        <v>98</v>
      </c>
      <c r="E8" s="32">
        <v>250.0</v>
      </c>
      <c r="F8" s="32" t="s">
        <v>144</v>
      </c>
      <c r="G8" s="32" t="s">
        <v>147</v>
      </c>
      <c r="H8" s="32" t="s">
        <v>148</v>
      </c>
    </row>
    <row r="9">
      <c r="A9" s="32" t="s">
        <v>94</v>
      </c>
      <c r="B9" s="32" t="s">
        <v>149</v>
      </c>
      <c r="C9" s="33">
        <v>4750.0</v>
      </c>
      <c r="D9" s="32" t="s">
        <v>98</v>
      </c>
      <c r="E9" s="32">
        <v>110.0</v>
      </c>
      <c r="F9" s="32" t="s">
        <v>150</v>
      </c>
      <c r="G9" s="32" t="s">
        <v>151</v>
      </c>
      <c r="H9" s="32" t="s">
        <v>140</v>
      </c>
    </row>
    <row r="10">
      <c r="A10" s="32" t="s">
        <v>94</v>
      </c>
      <c r="B10" s="32" t="s">
        <v>152</v>
      </c>
      <c r="C10" s="33">
        <v>4750.0</v>
      </c>
      <c r="D10" s="32" t="s">
        <v>98</v>
      </c>
      <c r="E10" s="32">
        <v>120.0</v>
      </c>
      <c r="F10" s="32" t="s">
        <v>153</v>
      </c>
      <c r="G10" s="32" t="s">
        <v>154</v>
      </c>
      <c r="H10" s="32" t="s">
        <v>140</v>
      </c>
    </row>
    <row r="11">
      <c r="A11" s="32" t="s">
        <v>94</v>
      </c>
      <c r="B11" s="32" t="s">
        <v>157</v>
      </c>
      <c r="C11" s="33">
        <v>4750.0</v>
      </c>
      <c r="D11" s="32" t="s">
        <v>98</v>
      </c>
      <c r="E11" s="32">
        <v>180.0</v>
      </c>
      <c r="F11" s="32" t="s">
        <v>159</v>
      </c>
      <c r="G11" s="32" t="s">
        <v>160</v>
      </c>
      <c r="H11" s="32" t="s">
        <v>148</v>
      </c>
    </row>
    <row r="12">
      <c r="A12" s="32" t="s">
        <v>85</v>
      </c>
      <c r="B12" s="32" t="s">
        <v>162</v>
      </c>
      <c r="C12" s="33">
        <v>17512.0</v>
      </c>
      <c r="D12" s="32" t="s">
        <v>163</v>
      </c>
      <c r="E12" s="32"/>
      <c r="F12" s="32"/>
      <c r="G12" s="32" t="s">
        <v>164</v>
      </c>
      <c r="H12" s="32" t="s">
        <v>140</v>
      </c>
    </row>
    <row r="13">
      <c r="A13" s="32" t="s">
        <v>85</v>
      </c>
      <c r="B13" s="32" t="s">
        <v>167</v>
      </c>
      <c r="C13" s="33">
        <v>61758.0</v>
      </c>
      <c r="D13" s="32" t="s">
        <v>163</v>
      </c>
      <c r="E13" s="32"/>
      <c r="F13" s="32"/>
      <c r="G13" s="32" t="s">
        <v>164</v>
      </c>
      <c r="H13" s="32" t="s">
        <v>140</v>
      </c>
    </row>
    <row r="16">
      <c r="A16" s="36" t="s">
        <v>168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H2"/>
  </mergeCells>
  <printOptions/>
  <pageMargins bottom="1.0" footer="0.0" header="0.0" left="0.75" right="0.75" top="1.0"/>
  <pageSetup orientation="landscape"/>
  <drawing r:id="rId1"/>
</worksheet>
</file>